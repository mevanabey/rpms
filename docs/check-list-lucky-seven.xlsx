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156209-9584-4056-B0AE-AFBD6AFE229B}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" l="1"/>
  <c r="B31" i="1"/>
  <c r="D39" i="1"/>
  <c r="D38" i="1"/>
  <c r="D37" i="1"/>
  <c r="D36" i="1"/>
  <c r="D35" i="1"/>
  <c r="G35" i="1" l="1"/>
  <c r="L35" i="1" s="1"/>
</calcChain>
</file>

<file path=xl/sharedStrings.xml><?xml version="1.0" encoding="utf-8"?>
<sst xmlns="http://schemas.openxmlformats.org/spreadsheetml/2006/main" count="82" uniqueCount="78">
  <si>
    <t xml:space="preserve">Premises address </t>
  </si>
  <si>
    <t>Property Investment Advisor Name</t>
  </si>
  <si>
    <t>Not specified</t>
  </si>
  <si>
    <t>CTP Lawyer Name</t>
  </si>
  <si>
    <t>Landlord's Lawyer Name</t>
  </si>
  <si>
    <t>Sulochana Manamperi, Attorney-at-Law &amp; Notary Public</t>
  </si>
  <si>
    <t xml:space="preserve">Lease/Rent Agreement </t>
  </si>
  <si>
    <t>Lease Agreement</t>
  </si>
  <si>
    <t>Lessor's Name &amp; ID or Company No.</t>
  </si>
  <si>
    <t>Yonmeregngna Siman Hewage Sunil Malcom Silva (NIC 56188258V)</t>
  </si>
  <si>
    <t>Lessor's Address</t>
  </si>
  <si>
    <t>No. 83, Main Street, Panadura</t>
  </si>
  <si>
    <t>Lessee's Name &amp; ID No.  Or Company No.</t>
  </si>
  <si>
    <t>Capital Trust Holdings Limited (PV 75497)</t>
  </si>
  <si>
    <t>Lessee's Adress</t>
  </si>
  <si>
    <t>42, Sir Mohammed Macan Markar Mawatha, Colombo 03</t>
  </si>
  <si>
    <t>Apartment name</t>
  </si>
  <si>
    <t>Lucky Seven Building</t>
  </si>
  <si>
    <t>Unit No.</t>
  </si>
  <si>
    <t>First, Second, Third and Fourth Floors and the Penthouse on the Fifth Floor (approx. 19,342 sq ft)</t>
  </si>
  <si>
    <t>Monthly Rental</t>
  </si>
  <si>
    <t>Advance payment</t>
  </si>
  <si>
    <t>Refundable deposit amount LKR/USD</t>
  </si>
  <si>
    <t>Rs. 18,000,000 refundable security deposit</t>
  </si>
  <si>
    <t>No. of bedrooms</t>
  </si>
  <si>
    <t>N/A - commercial office premises</t>
  </si>
  <si>
    <t>Term</t>
  </si>
  <si>
    <t>10 years (26.03.2026 - 25.03.2036)</t>
  </si>
  <si>
    <t xml:space="preserve">No. of people can accommodate </t>
  </si>
  <si>
    <t>Minor repairs</t>
  </si>
  <si>
    <t>Lessee to carry out running maintenance and minor repairs up to Rs. 75,000 per job per floor.</t>
  </si>
  <si>
    <t xml:space="preserve">Panelty for delay handover </t>
  </si>
  <si>
    <t>No specific per-day handover penalty stated; Lessee remains liable for rent and all other charges until vacant possession and keys are handed over.</t>
  </si>
  <si>
    <t>Maintenance &amp; cleanliness clause</t>
  </si>
  <si>
    <t>Lessee must keep the demised premises in a clean and sanitary state in good order and condition; interior/common areas used by Lessee to be colour washed once every two years.</t>
  </si>
  <si>
    <t xml:space="preserve">Mangement fees paid by </t>
  </si>
  <si>
    <t xml:space="preserve">Service charges paid by </t>
  </si>
  <si>
    <t xml:space="preserve">A/C service period </t>
  </si>
  <si>
    <t xml:space="preserve">Sub letting </t>
  </si>
  <si>
    <t>No subletting without prior written consent of the Lessor.</t>
  </si>
  <si>
    <t xml:space="preserve">Refundable deposit to be credited to </t>
  </si>
  <si>
    <t>Prior notice of termination</t>
  </si>
  <si>
    <t>Locking period</t>
  </si>
  <si>
    <t>First 5 years of the lease term</t>
  </si>
  <si>
    <t xml:space="preserve">Panelty for early termination </t>
  </si>
  <si>
    <t>Notice of renewal</t>
  </si>
  <si>
    <t>12 months before expiry</t>
  </si>
  <si>
    <t xml:space="preserve">Legal fees - 1%  </t>
  </si>
  <si>
    <t>Stamp duty - 2%</t>
  </si>
  <si>
    <t>Period</t>
  </si>
  <si>
    <t xml:space="preserve"> Monthly Rent  </t>
  </si>
  <si>
    <t xml:space="preserve"> Rent for Period </t>
  </si>
  <si>
    <t>Payment method</t>
  </si>
  <si>
    <t>Total Rent</t>
  </si>
  <si>
    <t>Refundable Deposit</t>
  </si>
  <si>
    <t>Stamp Duty</t>
  </si>
  <si>
    <t xml:space="preserve"> LKR </t>
  </si>
  <si>
    <t>26.03.2026 - 25.03.2028</t>
  </si>
  <si>
    <t>Advance set-off Rs. 600,000/month; balance payable Rs. 5,400,000/month by 26th</t>
  </si>
  <si>
    <t>3 Months</t>
  </si>
  <si>
    <t>26.03.2028 - 25.03.2030</t>
  </si>
  <si>
    <t>Advance set-off Rs. 600,000/month; balance payable Rs. 6,000,000/month by 26th</t>
  </si>
  <si>
    <t>26.03.2030 - 25.03.2032</t>
  </si>
  <si>
    <t>Advance set-off Rs. 600,000/month; balance payable Rs. 6,660,000/month by 26th</t>
  </si>
  <si>
    <t>26.03.2032 - 25.03.2034</t>
  </si>
  <si>
    <t>Advance set-off Rs. 600,000/month; balance payable Rs. 7,386,000/month by 26th</t>
  </si>
  <si>
    <t>26.03.2034 - 25.03.2036</t>
  </si>
  <si>
    <t>Advance set-off Rs. 600,000/month; balance payable Rs. 8,184,600/month by 26th</t>
  </si>
  <si>
    <t>Lucky Seven Building, Assessment No. 314, Duplication Road  R.A. De Mel Mawatha, Kollupitiya, Colombo</t>
  </si>
  <si>
    <t>Bhanuka</t>
  </si>
  <si>
    <t xml:space="preserve">Ruvini Weerasinghe </t>
  </si>
  <si>
    <t>Rs. 6,000,000/month (26.03.2026-25.03.2028);     Rs. 6,600,000/month (26.03.2028-25.03.2030);               Rs. 7,260,000/month (26.03.2030-25.03.2032);      Rs. 7,986,000/month (26.03.2032-25.03.2034);    Rs. 8,784,600/month (26.03.2034-25.03.2036).</t>
  </si>
  <si>
    <t xml:space="preserve"> Monthly</t>
  </si>
  <si>
    <t xml:space="preserve">Lessee </t>
  </si>
  <si>
    <t>No separate management fee stated</t>
  </si>
  <si>
    <t>air-conditioning maintenance is to be attended by the Lessee at its cost.</t>
  </si>
  <si>
    <t xml:space="preserve">Refundable to the Lessee </t>
  </si>
  <si>
    <t>12 months prior written notice.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</si>
</sst>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0" tint="-0.249977111117893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/>
      <bottom style="thin">
        <color theme="1"/>
      </bottom>
      <diagonal/>
    </border>
  </borders>
  <cellStyleXfs count="3">
    <xf numFmtId="0" fontId="0" fillId="0" borderId="0"/>
    <xf numFmtId="0" fontId="1" fillId="2" borderId="0"/>
    <xf numFmtId="43" fontId="3" fillId="0" borderId="0"/>
  </cellStyleXfs>
  <cellXfs count="32">
    <xf numFmtId="0" fontId="0" fillId="0" borderId="0" xfId="0"/>
    <xf numFmtId="0" fontId="0" fillId="3" borderId="0" xfId="0" applyFill="1"/>
    <xf numFmtId="0" fontId="4" fillId="0" borderId="0" xfId="0" applyFont="1"/>
    <xf numFmtId="0" fontId="0" fillId="0" borderId="0" xfId="0" applyAlignment="1">
      <alignment horizontal="left"/>
    </xf>
    <xf numFmtId="0" fontId="2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2" fillId="5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0" borderId="0" xfId="0" applyFont="1"/>
    <xf numFmtId="0" fontId="5" fillId="0" borderId="1" xfId="0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5" borderId="3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43" fontId="5" fillId="0" borderId="1" xfId="2" applyFont="1" applyBorder="1" applyAlignment="1">
      <alignment wrapText="1"/>
    </xf>
  </cellXfs>
  <cellStyles count="3">
    <cellStyle name="Comma" xfId="2" xr:uid="{00000000-0005-0000-0000-000002000000}"/>
    <cellStyle name="Good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="57" workbookViewId="0">
      <selection activeCell="B12" sqref="B12"/>
    </sheetView>
  </sheetViews>
  <sheetFormatPr defaultColWidth="8.77734375" defaultRowHeight="14.4" x14ac:dyDescent="0.3"/>
  <cols>
    <col min="1" max="1" width="32.77734375" style="3" customWidth="1"/>
    <col min="2" max="2" width="65" style="1" customWidth="1"/>
    <col min="3" max="3" width="18.33203125" customWidth="1"/>
    <col min="4" max="5" width="16" customWidth="1"/>
    <col min="6" max="6" width="50" customWidth="1"/>
    <col min="7" max="7" width="12" customWidth="1"/>
    <col min="8" max="8" width="16" customWidth="1"/>
    <col min="9" max="9" width="31.77734375" customWidth="1"/>
    <col min="10" max="10" width="10" customWidth="1"/>
    <col min="11" max="11" width="16" customWidth="1"/>
    <col min="12" max="12" width="10" customWidth="1"/>
    <col min="13" max="13" width="16" customWidth="1"/>
    <col min="14" max="14" width="14" customWidth="1"/>
  </cols>
  <sheetData>
    <row r="1" spans="1:14" ht="59.4" customHeight="1" x14ac:dyDescent="0.4">
      <c r="A1" s="27" t="s">
        <v>0</v>
      </c>
      <c r="B1" s="31" t="s">
        <v>68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6" customHeight="1" x14ac:dyDescent="0.4">
      <c r="A2" s="28" t="s">
        <v>1</v>
      </c>
      <c r="B2" s="31" t="s">
        <v>69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4" customHeight="1" x14ac:dyDescent="0.4">
      <c r="A3" s="28" t="s">
        <v>3</v>
      </c>
      <c r="B3" s="31" t="s">
        <v>70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42" customHeight="1" x14ac:dyDescent="0.4">
      <c r="A4" s="28" t="s">
        <v>4</v>
      </c>
      <c r="B4" s="31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40.799999999999997" customHeight="1" x14ac:dyDescent="0.4">
      <c r="A5" s="29" t="s">
        <v>6</v>
      </c>
      <c r="B5" s="31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.6" customHeight="1" x14ac:dyDescent="0.4">
      <c r="A6" s="30" t="s">
        <v>8</v>
      </c>
      <c r="B6" s="31" t="s">
        <v>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24" customHeight="1" x14ac:dyDescent="0.4">
      <c r="A7" s="30" t="s">
        <v>10</v>
      </c>
      <c r="B7" s="31" t="s">
        <v>11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32.4" customHeight="1" x14ac:dyDescent="0.4">
      <c r="A8" s="30" t="s">
        <v>12</v>
      </c>
      <c r="B8" s="31" t="s">
        <v>13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35.4" customHeight="1" x14ac:dyDescent="0.4">
      <c r="A9" s="30" t="s">
        <v>14</v>
      </c>
      <c r="B9" s="31" t="s">
        <v>15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24" customHeight="1" x14ac:dyDescent="0.4">
      <c r="A10" s="30" t="s">
        <v>16</v>
      </c>
      <c r="B10" s="31" t="s">
        <v>17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43.2" customHeight="1" x14ac:dyDescent="0.4">
      <c r="A11" s="30" t="s">
        <v>18</v>
      </c>
      <c r="B11" s="31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08.6" customHeight="1" x14ac:dyDescent="0.4">
      <c r="A12" s="30" t="s">
        <v>20</v>
      </c>
      <c r="B12" s="31" t="s">
        <v>71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57.6" customHeight="1" x14ac:dyDescent="0.4">
      <c r="A13" s="30" t="s">
        <v>21</v>
      </c>
      <c r="B13" s="31" t="s">
        <v>72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38.4" customHeight="1" x14ac:dyDescent="0.4">
      <c r="A14" s="30" t="s">
        <v>22</v>
      </c>
      <c r="B14" s="31" t="s">
        <v>23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24" customHeight="1" x14ac:dyDescent="0.4">
      <c r="A15" s="30" t="s">
        <v>24</v>
      </c>
      <c r="B15" s="31" t="s">
        <v>25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24" customHeight="1" x14ac:dyDescent="0.4">
      <c r="A16" s="30" t="s">
        <v>26</v>
      </c>
      <c r="B16" s="31" t="s">
        <v>27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37.200000000000003" customHeight="1" x14ac:dyDescent="0.4">
      <c r="A17" s="30" t="s">
        <v>28</v>
      </c>
      <c r="B17" s="31" t="s">
        <v>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43.2" customHeight="1" x14ac:dyDescent="0.4">
      <c r="A18" s="30" t="s">
        <v>29</v>
      </c>
      <c r="B18" s="31" t="s">
        <v>30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62.4" customHeight="1" x14ac:dyDescent="0.4">
      <c r="A19" s="30" t="s">
        <v>31</v>
      </c>
      <c r="B19" s="31" t="s">
        <v>32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57.6" customHeight="1" x14ac:dyDescent="0.4">
      <c r="A20" s="30" t="s">
        <v>33</v>
      </c>
      <c r="B20" s="31" t="s">
        <v>34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57.6" customHeight="1" x14ac:dyDescent="0.4">
      <c r="A21" s="30" t="s">
        <v>35</v>
      </c>
      <c r="B21" s="31" t="s">
        <v>74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57.6" customHeight="1" x14ac:dyDescent="0.4">
      <c r="A22" s="30" t="s">
        <v>36</v>
      </c>
      <c r="B22" s="31" t="s">
        <v>73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45" customHeight="1" x14ac:dyDescent="0.4">
      <c r="A23" s="30" t="s">
        <v>37</v>
      </c>
      <c r="B23" s="31" t="s">
        <v>75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42.6" customHeight="1" x14ac:dyDescent="0.4">
      <c r="A24" s="30" t="s">
        <v>38</v>
      </c>
      <c r="B24" s="31" t="s">
        <v>39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ht="57.6" customHeight="1" x14ac:dyDescent="0.4">
      <c r="A25" s="30" t="s">
        <v>40</v>
      </c>
      <c r="B25" s="31" t="s">
        <v>76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ht="57.6" customHeight="1" x14ac:dyDescent="0.4">
      <c r="A26" s="6" t="s">
        <v>41</v>
      </c>
      <c r="B26" s="31" t="s">
        <v>77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ht="24" customHeight="1" x14ac:dyDescent="0.4">
      <c r="A27" s="27" t="s">
        <v>42</v>
      </c>
      <c r="B27" s="31" t="s">
        <v>43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ht="57.6" customHeight="1" x14ac:dyDescent="0.4">
      <c r="A28" s="27" t="s">
        <v>44</v>
      </c>
      <c r="B28" s="31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ht="24" customHeight="1" x14ac:dyDescent="0.4">
      <c r="A29" s="27" t="s">
        <v>45</v>
      </c>
      <c r="B29" s="31" t="s">
        <v>46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ht="39.6" customHeight="1" x14ac:dyDescent="0.4">
      <c r="A30" s="27" t="s">
        <v>47</v>
      </c>
      <c r="B30" s="31">
        <f>G35*0.5%</f>
        <v>4395672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ht="41.4" customHeight="1" x14ac:dyDescent="0.4">
      <c r="A31" s="4" t="s">
        <v>48</v>
      </c>
      <c r="B31" s="21">
        <f>G35*2/100</f>
        <v>17582688</v>
      </c>
      <c r="C31" s="22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6.8" customHeight="1" x14ac:dyDescent="0.4">
      <c r="A32" s="7"/>
      <c r="B32" s="8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s="2" customFormat="1" ht="16.350000000000001" customHeight="1" x14ac:dyDescent="0.35">
      <c r="A33" s="9" t="s">
        <v>49</v>
      </c>
      <c r="B33" s="23" t="s">
        <v>50</v>
      </c>
      <c r="C33" s="24"/>
      <c r="D33" s="23" t="s">
        <v>51</v>
      </c>
      <c r="E33" s="24"/>
      <c r="F33" s="15" t="s">
        <v>52</v>
      </c>
      <c r="G33" s="23" t="s">
        <v>53</v>
      </c>
      <c r="H33" s="24"/>
      <c r="I33" s="15" t="s">
        <v>54</v>
      </c>
      <c r="J33" s="19"/>
      <c r="K33" s="20"/>
      <c r="L33" s="23" t="s">
        <v>55</v>
      </c>
      <c r="M33" s="24"/>
      <c r="N33" s="10"/>
    </row>
    <row r="34" spans="1:14" ht="16.350000000000001" customHeight="1" x14ac:dyDescent="0.4">
      <c r="A34" s="13"/>
      <c r="B34" s="17" t="s">
        <v>56</v>
      </c>
      <c r="C34" s="18"/>
      <c r="D34" s="17" t="s">
        <v>56</v>
      </c>
      <c r="E34" s="18"/>
      <c r="F34" s="14"/>
      <c r="G34" s="17" t="s">
        <v>56</v>
      </c>
      <c r="H34" s="18"/>
      <c r="I34" s="14"/>
      <c r="J34" s="17" t="s">
        <v>56</v>
      </c>
      <c r="K34" s="18"/>
      <c r="L34" s="17" t="s">
        <v>56</v>
      </c>
      <c r="M34" s="18"/>
      <c r="N34" s="5"/>
    </row>
    <row r="35" spans="1:14" ht="63" customHeight="1" x14ac:dyDescent="0.4">
      <c r="A35" s="16" t="s">
        <v>57</v>
      </c>
      <c r="B35" s="21">
        <v>6000000</v>
      </c>
      <c r="C35" s="22"/>
      <c r="D35" s="21">
        <f>B35*24</f>
        <v>144000000</v>
      </c>
      <c r="E35" s="22"/>
      <c r="F35" s="16" t="s">
        <v>58</v>
      </c>
      <c r="G35" s="21">
        <f>SUM(D35:E39)</f>
        <v>879134400</v>
      </c>
      <c r="H35" s="22"/>
      <c r="I35" s="11" t="s">
        <v>59</v>
      </c>
      <c r="J35" s="21">
        <v>18000000</v>
      </c>
      <c r="K35" s="22"/>
      <c r="L35" s="21">
        <f>G35*2/100</f>
        <v>17582688</v>
      </c>
      <c r="M35" s="22"/>
      <c r="N35" s="5"/>
    </row>
    <row r="36" spans="1:14" ht="64.2" customHeight="1" x14ac:dyDescent="0.4">
      <c r="A36" s="16" t="s">
        <v>60</v>
      </c>
      <c r="B36" s="21">
        <v>6600000</v>
      </c>
      <c r="C36" s="22"/>
      <c r="D36" s="21">
        <f>B36*24</f>
        <v>158400000</v>
      </c>
      <c r="E36" s="22"/>
      <c r="F36" s="16" t="s">
        <v>61</v>
      </c>
      <c r="G36" s="25"/>
      <c r="H36" s="26"/>
      <c r="I36" s="11"/>
      <c r="J36" s="25"/>
      <c r="K36" s="26"/>
      <c r="L36" s="21"/>
      <c r="M36" s="22"/>
      <c r="N36" s="5"/>
    </row>
    <row r="37" spans="1:14" ht="63" customHeight="1" x14ac:dyDescent="0.4">
      <c r="A37" s="16" t="s">
        <v>62</v>
      </c>
      <c r="B37" s="21">
        <v>7260000</v>
      </c>
      <c r="C37" s="22"/>
      <c r="D37" s="21">
        <f>B37*24</f>
        <v>174240000</v>
      </c>
      <c r="E37" s="22"/>
      <c r="F37" s="16" t="s">
        <v>63</v>
      </c>
      <c r="G37" s="25"/>
      <c r="H37" s="26"/>
      <c r="I37" s="11"/>
      <c r="J37" s="25"/>
      <c r="K37" s="26"/>
      <c r="L37" s="21"/>
      <c r="M37" s="22"/>
      <c r="N37" s="5"/>
    </row>
    <row r="38" spans="1:14" ht="59.4" customHeight="1" x14ac:dyDescent="0.4">
      <c r="A38" s="16" t="s">
        <v>64</v>
      </c>
      <c r="B38" s="21">
        <v>7986000</v>
      </c>
      <c r="C38" s="22"/>
      <c r="D38" s="21">
        <f>B38*24</f>
        <v>191664000</v>
      </c>
      <c r="E38" s="22"/>
      <c r="F38" s="16" t="s">
        <v>65</v>
      </c>
      <c r="G38" s="25"/>
      <c r="H38" s="26"/>
      <c r="I38" s="11"/>
      <c r="J38" s="25"/>
      <c r="K38" s="26"/>
      <c r="L38" s="21"/>
      <c r="M38" s="22"/>
      <c r="N38" s="5"/>
    </row>
    <row r="39" spans="1:14" ht="58.8" customHeight="1" x14ac:dyDescent="0.4">
      <c r="A39" s="16" t="s">
        <v>66</v>
      </c>
      <c r="B39" s="21">
        <v>8784600</v>
      </c>
      <c r="C39" s="22"/>
      <c r="D39" s="21">
        <f>B39*24</f>
        <v>210830400</v>
      </c>
      <c r="E39" s="22"/>
      <c r="F39" s="16" t="s">
        <v>67</v>
      </c>
      <c r="G39" s="25"/>
      <c r="H39" s="26"/>
      <c r="I39" s="11"/>
      <c r="J39" s="25"/>
      <c r="K39" s="26"/>
      <c r="L39" s="21"/>
      <c r="M39" s="22"/>
      <c r="N39" s="5"/>
    </row>
    <row r="40" spans="1:14" ht="16.8" customHeight="1" x14ac:dyDescent="0.4">
      <c r="A40" s="7"/>
      <c r="B40" s="1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</sheetData>
  <mergeCells count="36">
    <mergeCell ref="B31:C31"/>
    <mergeCell ref="L35:M35"/>
    <mergeCell ref="L36:M36"/>
    <mergeCell ref="L37:M37"/>
    <mergeCell ref="L38:M38"/>
    <mergeCell ref="L39:M39"/>
    <mergeCell ref="L33:M33"/>
    <mergeCell ref="G38:H38"/>
    <mergeCell ref="G39:H39"/>
    <mergeCell ref="J36:K36"/>
    <mergeCell ref="J37:K37"/>
    <mergeCell ref="J38:K38"/>
    <mergeCell ref="J39:K39"/>
    <mergeCell ref="D38:E38"/>
    <mergeCell ref="D39:E39"/>
    <mergeCell ref="D33:E33"/>
    <mergeCell ref="B33:C33"/>
    <mergeCell ref="B35:C35"/>
    <mergeCell ref="B36:C36"/>
    <mergeCell ref="B37:C37"/>
    <mergeCell ref="B38:C38"/>
    <mergeCell ref="B39:C39"/>
    <mergeCell ref="J35:K35"/>
    <mergeCell ref="G35:H35"/>
    <mergeCell ref="G33:H33"/>
    <mergeCell ref="D35:E35"/>
    <mergeCell ref="D36:E36"/>
    <mergeCell ref="D37:E37"/>
    <mergeCell ref="G36:H36"/>
    <mergeCell ref="G37:H37"/>
    <mergeCell ref="B34:C34"/>
    <mergeCell ref="D34:E34"/>
    <mergeCell ref="G34:H34"/>
    <mergeCell ref="J34:K34"/>
    <mergeCell ref="L34:M34"/>
    <mergeCell ref="J33:K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Methara Morawaka</cp:lastModifiedBy>
  <dcterms:modified xsi:type="dcterms:W3CDTF">2026-03-25T03:42:36Z</dcterms:modified>
</cp:coreProperties>
</file>