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uvini\Documents\SPECIMAN\"/>
    </mc:Choice>
  </mc:AlternateContent>
  <bookViews>
    <workbookView xWindow="-108" yWindow="-108" windowWidth="16608" windowHeight="8712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1" l="1"/>
  <c r="D46" i="1"/>
  <c r="D45" i="1"/>
  <c r="D44" i="1"/>
  <c r="D43" i="1"/>
  <c r="D42" i="1"/>
</calcChain>
</file>

<file path=xl/sharedStrings.xml><?xml version="1.0" encoding="utf-8"?>
<sst xmlns="http://schemas.openxmlformats.org/spreadsheetml/2006/main" count="100" uniqueCount="92">
  <si>
    <t xml:space="preserve">Premises address </t>
  </si>
  <si>
    <t>Property Investment Advisor Name</t>
  </si>
  <si>
    <t>CTP Lawyer Name</t>
  </si>
  <si>
    <t xml:space="preserve">Lease/Rent Agreement </t>
  </si>
  <si>
    <t>Lessor's Name &amp; ID or Company No.</t>
  </si>
  <si>
    <t>Lessor's Address</t>
  </si>
  <si>
    <t>Lessee's Name &amp; ID No.  Or Company No.</t>
  </si>
  <si>
    <t>Lessee's Adress</t>
  </si>
  <si>
    <t>Monthly Rental</t>
  </si>
  <si>
    <t>Advance payment</t>
  </si>
  <si>
    <t>Refundable deposit amount LKR/USD</t>
  </si>
  <si>
    <t>Term</t>
  </si>
  <si>
    <t xml:space="preserve">No. of people can accommodate </t>
  </si>
  <si>
    <t>Minor repairs</t>
  </si>
  <si>
    <t xml:space="preserve">Panelty for delay handover </t>
  </si>
  <si>
    <t>Maintenance &amp; cleanliness clause</t>
  </si>
  <si>
    <t xml:space="preserve">Mangement fees paid by </t>
  </si>
  <si>
    <t xml:space="preserve">Service charges paid by </t>
  </si>
  <si>
    <t xml:space="preserve">A/C service period </t>
  </si>
  <si>
    <t xml:space="preserve">Sub letting </t>
  </si>
  <si>
    <t xml:space="preserve">Refundable deposit to be credited to </t>
  </si>
  <si>
    <t>Prior notice of termination</t>
  </si>
  <si>
    <t>Locking period</t>
  </si>
  <si>
    <t xml:space="preserve">Panelty for early termination </t>
  </si>
  <si>
    <t>Notice of renewal</t>
  </si>
  <si>
    <t xml:space="preserve">Legal fees - 1%  </t>
  </si>
  <si>
    <t>Stamp duty - 2%</t>
  </si>
  <si>
    <t>Period</t>
  </si>
  <si>
    <t xml:space="preserve"> Monthly Rent  </t>
  </si>
  <si>
    <t xml:space="preserve"> Rent for Period </t>
  </si>
  <si>
    <t>Payment method</t>
  </si>
  <si>
    <t>Total Rent</t>
  </si>
  <si>
    <t>Refundable Deposit</t>
  </si>
  <si>
    <t>Stamp Duty</t>
  </si>
  <si>
    <t xml:space="preserve"> LKR </t>
  </si>
  <si>
    <t xml:space="preserve">Who woud do the AC repair  </t>
  </si>
  <si>
    <t xml:space="preserve">No of work stations </t>
  </si>
  <si>
    <t>Any other special clauses.</t>
  </si>
  <si>
    <t>Sqft</t>
  </si>
  <si>
    <t>Unit/floor  Nos.</t>
  </si>
  <si>
    <t>Legal fees</t>
  </si>
  <si>
    <t>LKR</t>
  </si>
  <si>
    <t>If paid in USD,  how exchange rate is taken  and 1st date of payment</t>
  </si>
  <si>
    <t xml:space="preserve">exchange rate </t>
  </si>
  <si>
    <t>date</t>
  </si>
  <si>
    <t xml:space="preserve">Landlord's Lawyer Name &amp; phone number </t>
  </si>
  <si>
    <t>No of Vehicle Park</t>
  </si>
  <si>
    <t>Additional charges if any.</t>
  </si>
  <si>
    <t>Lucky Seven Building, Assessment No. 314, Duplication Road  R.A. De Mel Mawatha, Kollupitiya, Colombo</t>
  </si>
  <si>
    <t>Bhanuka</t>
  </si>
  <si>
    <t xml:space="preserve">Ruvini Weerasinghe </t>
  </si>
  <si>
    <t>Sulochana Manamperi, Attorney-at-Law &amp; Notary Public</t>
  </si>
  <si>
    <t>Lease Agreement</t>
  </si>
  <si>
    <t>Yonmeregngna Siman Hewage Sunil Malcom Silva (NIC 56188258V)</t>
  </si>
  <si>
    <t>No. 83, Main Street, Panadura</t>
  </si>
  <si>
    <t>42, Sir Mohammed Macan Markar Mawatha, Colombo 03</t>
  </si>
  <si>
    <t>Capital Trust Holdings Limited (PV 75497)</t>
  </si>
  <si>
    <t>1st 2nd &amp;3rd Floors</t>
  </si>
  <si>
    <t>7000sqft</t>
  </si>
  <si>
    <t>N/A</t>
  </si>
  <si>
    <t>10 years (26.03.2026 - 25.03.2036)</t>
  </si>
  <si>
    <t>72M , Rs.600k to be deducted every month</t>
  </si>
  <si>
    <t>Rs. 18,000,000 refundable security deposit</t>
  </si>
  <si>
    <t>Applicability of WHT ,Vat &amp; any other taxes</t>
  </si>
  <si>
    <t>VHT - CTH WTH- deducted by Lessee</t>
  </si>
  <si>
    <t>Lessee to carry out running maintenance and minor repairs up to Rs. 75,000 per job per floor.</t>
  </si>
  <si>
    <t>No specific per-day handover penalty stated; Lessee remains liable for rent and all other charges until vacant possession and keys are handed over.</t>
  </si>
  <si>
    <t>Lessee must keep the demised premises in a clean and sanitary state in good order and condition; interior/common areas used by Lessee to be colour washed once every two years.</t>
  </si>
  <si>
    <t>No separate management fee stated</t>
  </si>
  <si>
    <t>No</t>
  </si>
  <si>
    <t xml:space="preserve">Lessee </t>
  </si>
  <si>
    <t>Lessor</t>
  </si>
  <si>
    <t xml:space="preserve">every two months </t>
  </si>
  <si>
    <t xml:space="preserve">Allowed for CTH group of Companies </t>
  </si>
  <si>
    <t>CTH</t>
  </si>
  <si>
    <t>3 Months</t>
  </si>
  <si>
    <t>First 5 years of the lease term</t>
  </si>
  <si>
    <t>LKR 100K</t>
  </si>
  <si>
    <t xml:space="preserve">3 months </t>
  </si>
  <si>
    <t>LKR 15K</t>
  </si>
  <si>
    <t>26.03.2026 - 25.03.2028</t>
  </si>
  <si>
    <t>26.03.2028 - 25.03.2030</t>
  </si>
  <si>
    <t>26.03.2030 - 25.03.2032</t>
  </si>
  <si>
    <t>26.03.2032 - 25.03.2034</t>
  </si>
  <si>
    <t>26.03.2034 - 25.03.2036</t>
  </si>
  <si>
    <t>Advance set-off Rs. 600,000/month; balance payable Rs. 5,400,000/month by 26th</t>
  </si>
  <si>
    <t>Advance set-off Rs. 600,000/month; balance payable Rs. 6,000,000/month by 26th</t>
  </si>
  <si>
    <t>Advance set-off Rs. 600,000/month; balance payable Rs. 6,660,000/month by 26th</t>
  </si>
  <si>
    <t>Advance set-off Rs. 600,000/month; balance payable Rs. 7,386,000/month by 26th</t>
  </si>
  <si>
    <t>Advance set-off Rs. 600,000/month; balance payable Rs. 8,184,600/month by 26th</t>
  </si>
  <si>
    <t>NIL</t>
  </si>
  <si>
    <t>Rs. 6,500,000/month (26.03.2026-25.03.2028);     Rs. 6,600,000/month (26.03.2028-25.03.2030);               Rs. 7,260,000/month (26.03.2030-25.03.2032);      Rs. 7,986,000/month (26.03.2032-25.03.2034);    Rs. 8,784,600/month (26.03.2034-25.03.2036).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</si>
</sst>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/>
    <xf numFmtId="164" fontId="3" fillId="0" borderId="0"/>
  </cellStyleXfs>
  <cellXfs count="44">
    <xf numFmtId="0" fontId="0" fillId="0" borderId="0" xfId="0"/>
    <xf numFmtId="0" fontId="0" fillId="3" borderId="0" xfId="0" applyFill="1"/>
    <xf numFmtId="0" fontId="4" fillId="0" borderId="0" xfId="0" applyFont="1"/>
    <xf numFmtId="0" fontId="0" fillId="0" borderId="0" xfId="0" applyAlignment="1">
      <alignment horizontal="left"/>
    </xf>
    <xf numFmtId="0" fontId="2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2" fillId="5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5" fillId="0" borderId="1" xfId="0" applyFont="1" applyBorder="1"/>
    <xf numFmtId="0" fontId="5" fillId="3" borderId="0" xfId="0" applyFont="1" applyFill="1"/>
    <xf numFmtId="0" fontId="5" fillId="6" borderId="1" xfId="0" applyFont="1" applyFill="1" applyBorder="1"/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164" fontId="5" fillId="0" borderId="1" xfId="2" applyFont="1" applyBorder="1" applyAlignment="1">
      <alignment wrapText="1"/>
    </xf>
    <xf numFmtId="0" fontId="5" fillId="0" borderId="0" xfId="0" applyFont="1" applyAlignment="1">
      <alignment wrapText="1"/>
    </xf>
    <xf numFmtId="0" fontId="5" fillId="7" borderId="1" xfId="0" applyFont="1" applyFill="1" applyBorder="1" applyAlignment="1">
      <alignment horizontal="left" vertical="center" wrapText="1"/>
    </xf>
    <xf numFmtId="0" fontId="0" fillId="7" borderId="0" xfId="0" applyFill="1"/>
    <xf numFmtId="0" fontId="5" fillId="0" borderId="10" xfId="0" applyFont="1" applyBorder="1"/>
    <xf numFmtId="0" fontId="5" fillId="0" borderId="11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6" fillId="7" borderId="13" xfId="0" applyFont="1" applyFill="1" applyBorder="1"/>
    <xf numFmtId="0" fontId="5" fillId="8" borderId="1" xfId="0" applyFont="1" applyFill="1" applyBorder="1" applyAlignment="1">
      <alignment horizontal="left" vertical="center" wrapText="1"/>
    </xf>
    <xf numFmtId="0" fontId="4" fillId="8" borderId="12" xfId="0" applyFont="1" applyFill="1" applyBorder="1"/>
    <xf numFmtId="0" fontId="4" fillId="8" borderId="0" xfId="0" applyFont="1" applyFill="1" applyAlignment="1">
      <alignment wrapText="1"/>
    </xf>
    <xf numFmtId="4" fontId="5" fillId="0" borderId="3" xfId="0" applyNumberFormat="1" applyFont="1" applyBorder="1" applyAlignment="1">
      <alignment horizontal="center"/>
    </xf>
    <xf numFmtId="4" fontId="5" fillId="0" borderId="4" xfId="0" applyNumberFormat="1" applyFont="1" applyBorder="1" applyAlignment="1">
      <alignment horizont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4" fontId="5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164" fontId="5" fillId="0" borderId="1" xfId="2" applyFont="1" applyBorder="1" applyAlignment="1">
      <alignment horizontal="left" vertical="center" wrapText="1"/>
    </xf>
    <xf numFmtId="3" fontId="5" fillId="0" borderId="9" xfId="0" applyNumberFormat="1" applyFont="1" applyBorder="1"/>
  </cellXfs>
  <cellStyles count="3">
    <cellStyle name="Comma" xfId="2"/>
    <cellStyle name="Good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topLeftCell="G33" zoomScale="57" workbookViewId="0">
      <selection activeCell="N42" sqref="N42"/>
    </sheetView>
  </sheetViews>
  <sheetFormatPr defaultColWidth="8.77734375" defaultRowHeight="14.4" x14ac:dyDescent="0.3"/>
  <cols>
    <col min="1" max="1" width="32.77734375" style="3" customWidth="1"/>
    <col min="2" max="2" width="65" style="1" customWidth="1"/>
    <col min="3" max="3" width="18.33203125" customWidth="1"/>
    <col min="4" max="5" width="16" customWidth="1"/>
    <col min="6" max="6" width="50" customWidth="1"/>
    <col min="7" max="7" width="12" customWidth="1"/>
    <col min="8" max="8" width="16" customWidth="1"/>
    <col min="9" max="9" width="31.77734375" customWidth="1"/>
    <col min="10" max="10" width="10" customWidth="1"/>
    <col min="11" max="11" width="16" customWidth="1"/>
    <col min="12" max="12" width="10" customWidth="1"/>
    <col min="13" max="13" width="16" customWidth="1"/>
    <col min="14" max="14" width="14" customWidth="1"/>
    <col min="15" max="15" width="22.77734375" customWidth="1"/>
  </cols>
  <sheetData>
    <row r="1" spans="1:14" ht="59.4" customHeight="1" x14ac:dyDescent="0.4">
      <c r="A1" s="14" t="s">
        <v>0</v>
      </c>
      <c r="B1" s="18" t="s">
        <v>48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6" customHeight="1" x14ac:dyDescent="0.4">
      <c r="A2" s="15" t="s">
        <v>1</v>
      </c>
      <c r="B2" s="18" t="s">
        <v>49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24" customHeight="1" x14ac:dyDescent="0.4">
      <c r="A3" s="15" t="s">
        <v>2</v>
      </c>
      <c r="B3" s="18" t="s">
        <v>50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42" customHeight="1" x14ac:dyDescent="0.4">
      <c r="A4" s="15" t="s">
        <v>45</v>
      </c>
      <c r="B4" s="18" t="s">
        <v>51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4" ht="40.799999999999997" customHeight="1" x14ac:dyDescent="0.4">
      <c r="A5" s="16" t="s">
        <v>3</v>
      </c>
      <c r="B5" s="18" t="s">
        <v>52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.6" customHeight="1" x14ac:dyDescent="0.4">
      <c r="A6" s="17" t="s">
        <v>4</v>
      </c>
      <c r="B6" s="18" t="s">
        <v>53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24" customHeight="1" x14ac:dyDescent="0.4">
      <c r="A7" s="17" t="s">
        <v>5</v>
      </c>
      <c r="B7" s="18" t="s">
        <v>54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4" ht="43.2" customHeight="1" x14ac:dyDescent="0.4">
      <c r="A8" s="17" t="s">
        <v>6</v>
      </c>
      <c r="B8" s="18" t="s">
        <v>56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35.4" customHeight="1" x14ac:dyDescent="0.4">
      <c r="A9" s="17" t="s">
        <v>7</v>
      </c>
      <c r="B9" s="18" t="s">
        <v>55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24" customHeight="1" x14ac:dyDescent="0.4">
      <c r="A10" s="17" t="s">
        <v>39</v>
      </c>
      <c r="B10" s="18" t="s">
        <v>57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ht="24" customHeight="1" x14ac:dyDescent="0.4">
      <c r="A11" s="17" t="s">
        <v>38</v>
      </c>
      <c r="B11" s="18" t="s">
        <v>58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ht="24" customHeight="1" x14ac:dyDescent="0.4">
      <c r="A12" s="17" t="s">
        <v>36</v>
      </c>
      <c r="B12" s="18" t="s">
        <v>59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ht="24" customHeight="1" x14ac:dyDescent="0.4">
      <c r="A13" s="17" t="s">
        <v>11</v>
      </c>
      <c r="B13" s="18" t="s">
        <v>60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spans="1:14" ht="129.6" customHeight="1" x14ac:dyDescent="0.4">
      <c r="A14" s="17" t="s">
        <v>8</v>
      </c>
      <c r="B14" s="18" t="s">
        <v>91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ht="108.6" customHeight="1" x14ac:dyDescent="0.4">
      <c r="A15" s="17" t="s">
        <v>9</v>
      </c>
      <c r="B15" s="18" t="s">
        <v>61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57.6" customHeight="1" x14ac:dyDescent="0.4">
      <c r="A16" s="17" t="s">
        <v>10</v>
      </c>
      <c r="B16" s="18" t="s">
        <v>62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ht="57.6" customHeight="1" x14ac:dyDescent="0.4">
      <c r="A17" s="17" t="s">
        <v>63</v>
      </c>
      <c r="B17" s="18" t="s">
        <v>64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58.2" customHeight="1" x14ac:dyDescent="0.4">
      <c r="A18" s="17" t="s">
        <v>42</v>
      </c>
      <c r="B18" s="18" t="s">
        <v>59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ht="58.2" customHeight="1" x14ac:dyDescent="0.4">
      <c r="A19" s="17" t="s">
        <v>46</v>
      </c>
      <c r="B19" s="42">
        <v>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 ht="67.8" customHeight="1" x14ac:dyDescent="0.4">
      <c r="A20" s="17" t="s">
        <v>12</v>
      </c>
      <c r="B20" s="18">
        <v>340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spans="1:14" ht="46.2" customHeight="1" x14ac:dyDescent="0.4">
      <c r="A21" s="17" t="s">
        <v>13</v>
      </c>
      <c r="B21" s="18" t="s">
        <v>65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37.200000000000003" customHeight="1" x14ac:dyDescent="0.4">
      <c r="A22" s="17" t="s">
        <v>14</v>
      </c>
      <c r="B22" s="18" t="s">
        <v>66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37.200000000000003" customHeight="1" x14ac:dyDescent="0.4">
      <c r="A23" s="17" t="s">
        <v>15</v>
      </c>
      <c r="B23" s="18" t="s">
        <v>67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spans="1:14" ht="43.2" customHeight="1" x14ac:dyDescent="0.4">
      <c r="A24" s="17" t="s">
        <v>16</v>
      </c>
      <c r="B24" s="18" t="s">
        <v>68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ht="62.4" customHeight="1" x14ac:dyDescent="0.4">
      <c r="A25" s="17" t="s">
        <v>37</v>
      </c>
      <c r="B25" s="18" t="s">
        <v>69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1:14" ht="57.6" customHeight="1" x14ac:dyDescent="0.4">
      <c r="A26" s="17" t="s">
        <v>17</v>
      </c>
      <c r="B26" s="18" t="s">
        <v>70</v>
      </c>
      <c r="C26" s="1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spans="1:14" ht="57.6" customHeight="1" x14ac:dyDescent="0.4">
      <c r="A27" s="17" t="s">
        <v>35</v>
      </c>
      <c r="B27" s="18" t="s">
        <v>71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ht="57.6" customHeight="1" x14ac:dyDescent="0.4">
      <c r="A28" s="17" t="s">
        <v>18</v>
      </c>
      <c r="B28" s="18" t="s">
        <v>72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spans="1:14" ht="57.6" customHeight="1" x14ac:dyDescent="0.4">
      <c r="A29" s="17" t="s">
        <v>47</v>
      </c>
      <c r="B29" s="18" t="s">
        <v>69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spans="1:14" ht="57.6" customHeight="1" x14ac:dyDescent="0.4">
      <c r="A30" s="17" t="s">
        <v>19</v>
      </c>
      <c r="B30" s="18" t="s">
        <v>73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spans="1:14" ht="57.6" customHeight="1" x14ac:dyDescent="0.4">
      <c r="A31" s="17" t="s">
        <v>20</v>
      </c>
      <c r="B31" s="18" t="s">
        <v>74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spans="1:14" ht="45" customHeight="1" x14ac:dyDescent="0.4">
      <c r="A32" s="6" t="s">
        <v>21</v>
      </c>
      <c r="B32" s="18" t="s">
        <v>75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spans="1:15" ht="42.6" customHeight="1" x14ac:dyDescent="0.4">
      <c r="A33" s="14" t="s">
        <v>22</v>
      </c>
      <c r="B33" s="18" t="s">
        <v>76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5" ht="57.6" customHeight="1" x14ac:dyDescent="0.4">
      <c r="A34" s="14" t="s">
        <v>23</v>
      </c>
      <c r="B34" s="18" t="s">
        <v>77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spans="1:15" ht="57.6" customHeight="1" x14ac:dyDescent="0.4">
      <c r="A35" s="14" t="s">
        <v>24</v>
      </c>
      <c r="B35" s="18" t="s">
        <v>78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 spans="1:15" ht="24" customHeight="1" x14ac:dyDescent="0.4">
      <c r="A36" s="14" t="s">
        <v>25</v>
      </c>
      <c r="B36" s="18" t="s">
        <v>77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spans="1:15" ht="57.6" customHeight="1" x14ac:dyDescent="0.4">
      <c r="A37" s="4" t="s">
        <v>26</v>
      </c>
      <c r="B37" s="18" t="s">
        <v>79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 spans="1:15" ht="24" customHeight="1" x14ac:dyDescent="0.4">
      <c r="A38" s="7"/>
      <c r="B38" s="1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5" ht="16.8" customHeight="1" x14ac:dyDescent="0.4">
      <c r="A39" s="13"/>
      <c r="B39" s="8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5" s="2" customFormat="1" ht="16.350000000000001" customHeight="1" x14ac:dyDescent="0.35">
      <c r="A40" s="28" t="s">
        <v>27</v>
      </c>
      <c r="B40" s="33" t="s">
        <v>28</v>
      </c>
      <c r="C40" s="34"/>
      <c r="D40" s="33" t="s">
        <v>29</v>
      </c>
      <c r="E40" s="34"/>
      <c r="F40" s="12" t="s">
        <v>30</v>
      </c>
      <c r="G40" s="33" t="s">
        <v>31</v>
      </c>
      <c r="H40" s="34"/>
      <c r="I40" s="12" t="s">
        <v>32</v>
      </c>
      <c r="J40" s="40"/>
      <c r="K40" s="41"/>
      <c r="L40" s="33" t="s">
        <v>33</v>
      </c>
      <c r="M40" s="34"/>
      <c r="N40" s="29" t="s">
        <v>40</v>
      </c>
      <c r="O40" s="30" t="s">
        <v>43</v>
      </c>
    </row>
    <row r="41" spans="1:15" ht="16.350000000000001" customHeight="1" thickBot="1" x14ac:dyDescent="0.45">
      <c r="A41" s="20"/>
      <c r="B41" s="35" t="s">
        <v>34</v>
      </c>
      <c r="C41" s="36"/>
      <c r="D41" s="35" t="s">
        <v>34</v>
      </c>
      <c r="E41" s="36"/>
      <c r="F41" s="11"/>
      <c r="G41" s="35" t="s">
        <v>34</v>
      </c>
      <c r="H41" s="36"/>
      <c r="I41" s="11"/>
      <c r="J41" s="35" t="s">
        <v>34</v>
      </c>
      <c r="K41" s="36"/>
      <c r="L41" s="35" t="s">
        <v>34</v>
      </c>
      <c r="M41" s="36"/>
      <c r="N41" s="27" t="s">
        <v>41</v>
      </c>
      <c r="O41" s="21" t="s">
        <v>44</v>
      </c>
    </row>
    <row r="42" spans="1:15" ht="63" customHeight="1" x14ac:dyDescent="0.4">
      <c r="A42" s="13" t="s">
        <v>80</v>
      </c>
      <c r="B42" s="31">
        <v>6000000</v>
      </c>
      <c r="C42" s="32"/>
      <c r="D42" s="31">
        <f>B42*24</f>
        <v>144000000</v>
      </c>
      <c r="E42" s="32"/>
      <c r="F42" s="13" t="s">
        <v>85</v>
      </c>
      <c r="G42" s="31">
        <f>SUM(D42:E46)</f>
        <v>879134400</v>
      </c>
      <c r="H42" s="32"/>
      <c r="I42" s="9" t="s">
        <v>75</v>
      </c>
      <c r="J42" s="31"/>
      <c r="K42" s="32"/>
      <c r="L42" s="31">
        <v>15000000</v>
      </c>
      <c r="M42" s="32"/>
      <c r="N42" s="43">
        <v>100000</v>
      </c>
      <c r="O42" s="24" t="s">
        <v>90</v>
      </c>
    </row>
    <row r="43" spans="1:15" ht="64.2" customHeight="1" x14ac:dyDescent="0.4">
      <c r="A43" s="13" t="s">
        <v>81</v>
      </c>
      <c r="B43" s="31">
        <v>6600000</v>
      </c>
      <c r="C43" s="32"/>
      <c r="D43" s="31">
        <f>B43*24</f>
        <v>158400000</v>
      </c>
      <c r="E43" s="32"/>
      <c r="F43" s="13" t="s">
        <v>86</v>
      </c>
      <c r="G43" s="38"/>
      <c r="H43" s="39"/>
      <c r="I43" s="9"/>
      <c r="J43" s="38"/>
      <c r="K43" s="39"/>
      <c r="L43" s="31"/>
      <c r="M43" s="37"/>
      <c r="N43" s="22"/>
      <c r="O43" s="25"/>
    </row>
    <row r="44" spans="1:15" ht="63" customHeight="1" x14ac:dyDescent="0.4">
      <c r="A44" s="13" t="s">
        <v>82</v>
      </c>
      <c r="B44" s="31">
        <v>7260000</v>
      </c>
      <c r="C44" s="32"/>
      <c r="D44" s="31">
        <f>B44*24</f>
        <v>174240000</v>
      </c>
      <c r="E44" s="32"/>
      <c r="F44" s="13" t="s">
        <v>87</v>
      </c>
      <c r="G44" s="38"/>
      <c r="H44" s="39"/>
      <c r="I44" s="9"/>
      <c r="J44" s="38"/>
      <c r="K44" s="39"/>
      <c r="L44" s="31"/>
      <c r="M44" s="37"/>
      <c r="N44" s="22"/>
      <c r="O44" s="25"/>
    </row>
    <row r="45" spans="1:15" ht="59.4" customHeight="1" x14ac:dyDescent="0.4">
      <c r="A45" s="13" t="s">
        <v>83</v>
      </c>
      <c r="B45" s="31">
        <v>7986000</v>
      </c>
      <c r="C45" s="32"/>
      <c r="D45" s="31">
        <f>B45*24</f>
        <v>191664000</v>
      </c>
      <c r="E45" s="32"/>
      <c r="F45" s="13" t="s">
        <v>88</v>
      </c>
      <c r="G45" s="38"/>
      <c r="H45" s="39"/>
      <c r="I45" s="9"/>
      <c r="J45" s="38"/>
      <c r="K45" s="39"/>
      <c r="L45" s="31"/>
      <c r="M45" s="37"/>
      <c r="N45" s="22"/>
      <c r="O45" s="25"/>
    </row>
    <row r="46" spans="1:15" ht="58.8" customHeight="1" thickBot="1" x14ac:dyDescent="0.45">
      <c r="A46" s="13" t="s">
        <v>84</v>
      </c>
      <c r="B46" s="31">
        <v>8784600</v>
      </c>
      <c r="C46" s="32"/>
      <c r="D46" s="31">
        <f>B46*24</f>
        <v>210830400</v>
      </c>
      <c r="E46" s="32"/>
      <c r="F46" s="13" t="s">
        <v>89</v>
      </c>
      <c r="G46" s="38"/>
      <c r="H46" s="39"/>
      <c r="I46" s="9"/>
      <c r="J46" s="38"/>
      <c r="K46" s="39"/>
      <c r="L46" s="31"/>
      <c r="M46" s="37"/>
      <c r="N46" s="23"/>
      <c r="O46" s="26"/>
    </row>
    <row r="47" spans="1:15" ht="16.8" customHeight="1" x14ac:dyDescent="0.4">
      <c r="B47" s="10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</sheetData>
  <mergeCells count="35">
    <mergeCell ref="L42:M42"/>
    <mergeCell ref="L43:M43"/>
    <mergeCell ref="L44:M44"/>
    <mergeCell ref="L45:M45"/>
    <mergeCell ref="L41:M41"/>
    <mergeCell ref="L46:M46"/>
    <mergeCell ref="L40:M40"/>
    <mergeCell ref="G45:H45"/>
    <mergeCell ref="G46:H46"/>
    <mergeCell ref="J43:K43"/>
    <mergeCell ref="J44:K44"/>
    <mergeCell ref="J45:K45"/>
    <mergeCell ref="J46:K46"/>
    <mergeCell ref="J42:K42"/>
    <mergeCell ref="G42:H42"/>
    <mergeCell ref="G40:H40"/>
    <mergeCell ref="G43:H43"/>
    <mergeCell ref="G44:H44"/>
    <mergeCell ref="G41:H41"/>
    <mergeCell ref="J41:K41"/>
    <mergeCell ref="J40:K40"/>
    <mergeCell ref="D46:E46"/>
    <mergeCell ref="D40:E40"/>
    <mergeCell ref="B40:C40"/>
    <mergeCell ref="B42:C42"/>
    <mergeCell ref="B43:C43"/>
    <mergeCell ref="B44:C44"/>
    <mergeCell ref="B45:C45"/>
    <mergeCell ref="B46:C46"/>
    <mergeCell ref="D42:E42"/>
    <mergeCell ref="D43:E43"/>
    <mergeCell ref="D44:E44"/>
    <mergeCell ref="B41:C41"/>
    <mergeCell ref="D41:E41"/>
    <mergeCell ref="D45:E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Ruvini</dc:creator>
  <cp:lastModifiedBy>Ruvini</cp:lastModifiedBy>
  <dcterms:created xsi:type="dcterms:W3CDTF">2026-03-25T03:48:02Z</dcterms:created>
  <dcterms:modified xsi:type="dcterms:W3CDTF">2026-05-19T12:04:16Z</dcterms:modified>
</cp:coreProperties>
</file>