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check lis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J46" i="1"/>
  <c r="I46" i="1"/>
  <c r="D50" i="1"/>
  <c r="D49" i="1"/>
  <c r="D48" i="1"/>
  <c r="D47" i="1"/>
  <c r="D46" i="1"/>
  <c r="H46" i="1"/>
  <c r="C47" i="1"/>
  <c r="C48" i="1"/>
  <c r="C49" i="1"/>
  <c r="C46" i="1"/>
  <c r="C50" i="1" l="1"/>
  <c r="I37" i="1" l="1"/>
  <c r="D40" i="1"/>
  <c r="D39" i="1"/>
  <c r="D38" i="1"/>
  <c r="D37" i="1"/>
  <c r="F37" i="1" l="1"/>
  <c r="J37" i="1" s="1"/>
</calcChain>
</file>

<file path=xl/sharedStrings.xml><?xml version="1.0" encoding="utf-8"?>
<sst xmlns="http://schemas.openxmlformats.org/spreadsheetml/2006/main" count="106" uniqueCount="77">
  <si>
    <t xml:space="preserve">Premises address </t>
  </si>
  <si>
    <t>Property Investment Advisor Name</t>
  </si>
  <si>
    <t>Stephen Van Rooyen</t>
  </si>
  <si>
    <t>CTP Lawyer Name</t>
  </si>
  <si>
    <t xml:space="preserve">Taneesha Weerasinghe </t>
  </si>
  <si>
    <t>Landlord's Lawyer Name</t>
  </si>
  <si>
    <t xml:space="preserve">Lease/Rent Agreement </t>
  </si>
  <si>
    <t xml:space="preserve">Rental Agreement </t>
  </si>
  <si>
    <t>Landlord's Name &amp; ID or Company No.</t>
  </si>
  <si>
    <t>Landlord's Address</t>
  </si>
  <si>
    <t>Tenant's Name &amp; ID No.  Or Company No.</t>
  </si>
  <si>
    <t>Tenant's Adress</t>
  </si>
  <si>
    <t xml:space="preserve">No.42, Sir Mohammed Macan Marakar Mawatha, Colombo 03 </t>
  </si>
  <si>
    <t>Apartment name</t>
  </si>
  <si>
    <t>Capital Trust Residencies - Fortress</t>
  </si>
  <si>
    <t>Unit No.</t>
  </si>
  <si>
    <t>Monthly Rental (LKR)</t>
  </si>
  <si>
    <t>Advance payment</t>
  </si>
  <si>
    <t xml:space="preserve">3 months </t>
  </si>
  <si>
    <t>Refundable deposit amount (LKR)</t>
  </si>
  <si>
    <t>No. of bedrooms</t>
  </si>
  <si>
    <t>Term</t>
  </si>
  <si>
    <t xml:space="preserve">No. of people can accommodate </t>
  </si>
  <si>
    <t>Minor repairs</t>
  </si>
  <si>
    <t>Panelty for delay handover (LKR)</t>
  </si>
  <si>
    <t xml:space="preserve">Rs. 25,000/- per day </t>
  </si>
  <si>
    <t>Maintenance &amp; cleanliness clause</t>
  </si>
  <si>
    <t xml:space="preserve">Mangement fees paid by </t>
  </si>
  <si>
    <t xml:space="preserve">Service charges paid by </t>
  </si>
  <si>
    <t>The Landlord</t>
  </si>
  <si>
    <t xml:space="preserve">A/C service period </t>
  </si>
  <si>
    <t xml:space="preserve">Sub letting </t>
  </si>
  <si>
    <t xml:space="preserve">Refundable deposit to be credited to </t>
  </si>
  <si>
    <t xml:space="preserve">The Tenant </t>
  </si>
  <si>
    <t>Prior notice of termination</t>
  </si>
  <si>
    <t>Locking period</t>
  </si>
  <si>
    <t xml:space="preserve">Not mentioned </t>
  </si>
  <si>
    <t xml:space="preserve">Panelty for early termination </t>
  </si>
  <si>
    <t>Notice of renewal</t>
  </si>
  <si>
    <t>By mutual agreement upon one (01) months' prior written notice</t>
  </si>
  <si>
    <t>Legal fees - 1%  (LKR)</t>
  </si>
  <si>
    <t>Stamp duty - 2% (LKR)</t>
  </si>
  <si>
    <t>Period</t>
  </si>
  <si>
    <t xml:space="preserve"> Monthly Rent  </t>
  </si>
  <si>
    <t xml:space="preserve"> Three Months Rent  </t>
  </si>
  <si>
    <t>Payment method</t>
  </si>
  <si>
    <t>Total Rent</t>
  </si>
  <si>
    <t>Refundable Deposit</t>
  </si>
  <si>
    <t xml:space="preserve">LKR Selling Rate </t>
  </si>
  <si>
    <t>LKR</t>
  </si>
  <si>
    <t>Every three months</t>
  </si>
  <si>
    <t xml:space="preserve"> 3 Months </t>
  </si>
  <si>
    <t>N/A</t>
  </si>
  <si>
    <t>Legal Fees</t>
  </si>
  <si>
    <t>Wijemuni Christy De Zoysa Wijeratne (NIC No. 661291702 V).</t>
  </si>
  <si>
    <t>No.846 8/3, E.W. Perera Mawatha, Kotte Road, Ethul Kotte</t>
  </si>
  <si>
    <t xml:space="preserve">Not more than 5 persons </t>
  </si>
  <si>
    <t>Permitted to assign or sub-let to group companies, affiliates, or employees</t>
  </si>
  <si>
    <t>Full security deposit is forfeited.</t>
  </si>
  <si>
    <t xml:space="preserve">Unit No. 8/3 </t>
  </si>
  <si>
    <t xml:space="preserve">The Tenant is to keep the demised premises in a clean and sanitary state order and tenantable condition in strict conformity with the laws and by – laws of the relevant local authority and to keep the Landlord freed and indemnified from all prosecutions and fines which may be instituted or imposed in consequence of a breach or non-performance of any law or by – law or regulation imposed by the local authority and or other government entity, however, reasonable wear and tear excepted. </t>
  </si>
  <si>
    <t>The Landlord throughout the tenancy period.</t>
  </si>
  <si>
    <t xml:space="preserve">One (01) month notice </t>
  </si>
  <si>
    <t>Rs. 1,050,000.00.</t>
  </si>
  <si>
    <t>Capital Trust Residencies Nine Private Limited  (PV 109828)</t>
  </si>
  <si>
    <t xml:space="preserve">Sahanya, Devagoda, Madampe, Ambalangoda </t>
  </si>
  <si>
    <t xml:space="preserve">3 bedrooms </t>
  </si>
  <si>
    <t>The Tenant is responsible for repairs below Rs. 25,000.</t>
  </si>
  <si>
    <t>1 Year (2026.02.28- 2027.02.27)</t>
  </si>
  <si>
    <t>Sub Tenancy Agreement payments</t>
  </si>
  <si>
    <t>Master Agreement Payments</t>
  </si>
  <si>
    <t>28.02.2026 - 27.05.2026</t>
  </si>
  <si>
    <t>28.05.2026 -27.08.2026</t>
  </si>
  <si>
    <t>28.08.2026-  27.11.2026</t>
  </si>
  <si>
    <t>28.11.2026 - 27.02.2027</t>
  </si>
  <si>
    <t xml:space="preserve">USD 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</si>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</sst>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</cellStyleXfs>
  <cellXfs count="82">
    <xf numFmtId="0" fontId="0" fillId="0" borderId="0" xfId="0"/>
    <xf numFmtId="0" fontId="6" fillId="4" borderId="1" xfId="0" applyFont="1" applyFill="1" applyBorder="1" applyAlignment="1">
      <alignment horizontal="left" vertical="center" wrapText="1" indent="2"/>
    </xf>
    <xf numFmtId="0" fontId="0" fillId="4" borderId="0" xfId="0" applyFill="1"/>
    <xf numFmtId="0" fontId="5" fillId="0" borderId="0" xfId="0" applyFont="1"/>
    <xf numFmtId="0" fontId="6" fillId="4" borderId="4" xfId="0" applyFont="1" applyFill="1" applyBorder="1" applyAlignment="1">
      <alignment horizontal="left" vertical="center" wrapText="1" indent="2"/>
    </xf>
    <xf numFmtId="0" fontId="0" fillId="0" borderId="0" xfId="0" applyAlignment="1">
      <alignment horizontal="left"/>
    </xf>
    <xf numFmtId="0" fontId="7" fillId="0" borderId="0" xfId="0" applyFont="1"/>
    <xf numFmtId="0" fontId="3" fillId="6" borderId="6" xfId="0" applyFont="1" applyFill="1" applyBorder="1" applyAlignment="1">
      <alignment horizontal="left" vertical="center" wrapText="1" indent="2"/>
    </xf>
    <xf numFmtId="0" fontId="6" fillId="4" borderId="4" xfId="1" applyFont="1" applyFill="1" applyBorder="1" applyAlignment="1">
      <alignment horizontal="left" vertical="center" wrapText="1" indent="2"/>
    </xf>
    <xf numFmtId="0" fontId="3" fillId="6" borderId="5" xfId="0" applyFont="1" applyFill="1" applyBorder="1" applyAlignment="1">
      <alignment horizontal="left" vertical="center" wrapText="1" indent="2"/>
    </xf>
    <xf numFmtId="0" fontId="6" fillId="4" borderId="1" xfId="1" applyFont="1" applyFill="1" applyBorder="1" applyAlignment="1">
      <alignment horizontal="left" vertical="center" wrapText="1" indent="2"/>
    </xf>
    <xf numFmtId="8" fontId="6" fillId="4" borderId="1" xfId="1" applyNumberFormat="1" applyFont="1" applyFill="1" applyBorder="1" applyAlignment="1">
      <alignment horizontal="left" vertical="center" wrapText="1" indent="2"/>
    </xf>
    <xf numFmtId="0" fontId="3" fillId="6" borderId="3" xfId="0" applyFont="1" applyFill="1" applyBorder="1" applyAlignment="1">
      <alignment horizontal="left" vertical="center" wrapText="1" indent="2"/>
    </xf>
    <xf numFmtId="0" fontId="6" fillId="4" borderId="2" xfId="1" applyFont="1" applyFill="1" applyBorder="1" applyAlignment="1">
      <alignment horizontal="left" vertical="center" wrapText="1" indent="2"/>
    </xf>
    <xf numFmtId="0" fontId="3" fillId="6" borderId="1" xfId="0" applyFont="1" applyFill="1" applyBorder="1" applyAlignment="1">
      <alignment horizontal="left" vertical="center" wrapText="1" indent="2"/>
    </xf>
    <xf numFmtId="0" fontId="8" fillId="5" borderId="1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4" fontId="7" fillId="0" borderId="1" xfId="0" applyNumberFormat="1" applyFont="1" applyBorder="1"/>
    <xf numFmtId="43" fontId="7" fillId="0" borderId="1" xfId="2" applyFont="1" applyBorder="1"/>
    <xf numFmtId="43" fontId="7" fillId="3" borderId="1" xfId="2" applyFont="1" applyFill="1" applyBorder="1"/>
    <xf numFmtId="0" fontId="7" fillId="4" borderId="0" xfId="0" applyFont="1" applyFill="1"/>
    <xf numFmtId="0" fontId="7" fillId="7" borderId="1" xfId="0" applyFont="1" applyFill="1" applyBorder="1"/>
    <xf numFmtId="0" fontId="9" fillId="0" borderId="8" xfId="0" applyFont="1" applyBorder="1" applyAlignment="1">
      <alignment horizontal="left" vertical="center" indent="2"/>
    </xf>
    <xf numFmtId="0" fontId="3" fillId="6" borderId="9" xfId="0" applyFont="1" applyFill="1" applyBorder="1" applyAlignment="1">
      <alignment horizontal="left" vertical="center" wrapText="1" indent="2"/>
    </xf>
    <xf numFmtId="0" fontId="6" fillId="3" borderId="1" xfId="1" applyFont="1" applyFill="1" applyBorder="1" applyAlignment="1">
      <alignment horizontal="left" vertical="center" wrapText="1" indent="2"/>
    </xf>
    <xf numFmtId="0" fontId="7" fillId="0" borderId="0" xfId="0" applyFont="1" applyAlignment="1">
      <alignment vertical="center"/>
    </xf>
    <xf numFmtId="0" fontId="3" fillId="6" borderId="10" xfId="0" applyFont="1" applyFill="1" applyBorder="1" applyAlignment="1">
      <alignment horizontal="left" vertical="center" wrapText="1" indent="2"/>
    </xf>
    <xf numFmtId="0" fontId="6" fillId="4" borderId="2" xfId="0" applyFont="1" applyFill="1" applyBorder="1" applyAlignment="1">
      <alignment horizontal="left" vertical="center" indent="2"/>
    </xf>
    <xf numFmtId="0" fontId="7" fillId="0" borderId="2" xfId="0" applyFont="1" applyBorder="1"/>
    <xf numFmtId="0" fontId="7" fillId="0" borderId="8" xfId="0" applyFont="1" applyBorder="1"/>
    <xf numFmtId="0" fontId="7" fillId="0" borderId="11" xfId="0" applyFont="1" applyBorder="1"/>
    <xf numFmtId="43" fontId="6" fillId="4" borderId="1" xfId="0" applyNumberFormat="1" applyFont="1" applyFill="1" applyBorder="1" applyAlignment="1">
      <alignment horizontal="left" vertical="center" indent="2"/>
    </xf>
    <xf numFmtId="0" fontId="10" fillId="0" borderId="0" xfId="0" applyFont="1" applyAlignment="1">
      <alignment wrapText="1"/>
    </xf>
    <xf numFmtId="0" fontId="7" fillId="4" borderId="8" xfId="0" applyFont="1" applyFill="1" applyBorder="1" applyAlignment="1">
      <alignment horizontal="left" vertical="center" indent="2"/>
    </xf>
    <xf numFmtId="43" fontId="6" fillId="4" borderId="1" xfId="1" applyNumberFormat="1" applyFont="1" applyFill="1" applyBorder="1" applyAlignment="1">
      <alignment horizontal="left" vertical="center" wrapText="1" indent="1"/>
    </xf>
    <xf numFmtId="43" fontId="6" fillId="4" borderId="1" xfId="1" applyNumberFormat="1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 indent="2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3" fillId="4" borderId="0" xfId="0" applyFont="1" applyFill="1" applyAlignment="1">
      <alignment horizontal="left" wrapText="1"/>
    </xf>
    <xf numFmtId="0" fontId="11" fillId="8" borderId="0" xfId="0" applyFont="1" applyFill="1" applyAlignment="1">
      <alignment horizontal="center" wrapText="1"/>
    </xf>
    <xf numFmtId="43" fontId="6" fillId="4" borderId="0" xfId="0" applyNumberFormat="1" applyFont="1" applyFill="1" applyBorder="1" applyAlignment="1">
      <alignment horizontal="left" vertical="center" indent="2"/>
    </xf>
    <xf numFmtId="0" fontId="3" fillId="6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center" wrapText="1" indent="2"/>
    </xf>
    <xf numFmtId="0" fontId="7" fillId="0" borderId="1" xfId="0" applyFont="1" applyBorder="1" applyAlignment="1">
      <alignment horizontal="left" wrapText="1"/>
    </xf>
    <xf numFmtId="4" fontId="14" fillId="0" borderId="0" xfId="0" applyNumberFormat="1" applyFont="1" applyBorder="1" applyAlignment="1">
      <alignment wrapText="1"/>
    </xf>
    <xf numFmtId="0" fontId="6" fillId="4" borderId="0" xfId="0" applyFont="1" applyFill="1" applyBorder="1" applyAlignment="1">
      <alignment horizontal="left" vertical="center" wrapText="1" indent="2"/>
    </xf>
    <xf numFmtId="0" fontId="6" fillId="4" borderId="0" xfId="1" applyFont="1" applyFill="1" applyBorder="1" applyAlignment="1">
      <alignment horizontal="left" vertical="center" wrapText="1" indent="2"/>
    </xf>
    <xf numFmtId="43" fontId="6" fillId="4" borderId="0" xfId="1" applyNumberFormat="1" applyFont="1" applyFill="1" applyBorder="1" applyAlignment="1">
      <alignment horizontal="left" vertical="center" wrapText="1"/>
    </xf>
    <xf numFmtId="43" fontId="6" fillId="4" borderId="0" xfId="1" applyNumberFormat="1" applyFont="1" applyFill="1" applyBorder="1" applyAlignment="1">
      <alignment horizontal="left" vertical="center" wrapText="1" indent="1"/>
    </xf>
    <xf numFmtId="8" fontId="6" fillId="4" borderId="0" xfId="1" applyNumberFormat="1" applyFont="1" applyFill="1" applyBorder="1" applyAlignment="1">
      <alignment horizontal="left" vertical="center" wrapText="1" indent="2"/>
    </xf>
    <xf numFmtId="0" fontId="9" fillId="0" borderId="0" xfId="0" applyFont="1" applyBorder="1" applyAlignment="1">
      <alignment horizontal="left" vertical="center" indent="2"/>
    </xf>
    <xf numFmtId="0" fontId="6" fillId="3" borderId="0" xfId="1" applyFont="1" applyFill="1" applyBorder="1" applyAlignment="1">
      <alignment horizontal="left" vertical="center" wrapText="1" indent="2"/>
    </xf>
    <xf numFmtId="0" fontId="6" fillId="4" borderId="0" xfId="0" applyFont="1" applyFill="1" applyBorder="1" applyAlignment="1">
      <alignment horizontal="left" vertical="center" indent="2"/>
    </xf>
    <xf numFmtId="0" fontId="7" fillId="4" borderId="0" xfId="0" applyFont="1" applyFill="1" applyBorder="1" applyAlignment="1">
      <alignment horizontal="left" vertical="center" indent="2"/>
    </xf>
    <xf numFmtId="43" fontId="7" fillId="0" borderId="0" xfId="2" applyFont="1" applyBorder="1"/>
    <xf numFmtId="0" fontId="11" fillId="8" borderId="0" xfId="0" applyFont="1" applyFill="1" applyBorder="1" applyAlignment="1">
      <alignment horizontal="center" wrapText="1"/>
    </xf>
    <xf numFmtId="4" fontId="7" fillId="3" borderId="1" xfId="0" applyNumberFormat="1" applyFont="1" applyFill="1" applyBorder="1"/>
    <xf numFmtId="4" fontId="7" fillId="4" borderId="1" xfId="0" applyNumberFormat="1" applyFont="1" applyFill="1" applyBorder="1" applyAlignment="1">
      <alignment horizontal="left" wrapText="1"/>
    </xf>
    <xf numFmtId="4" fontId="7" fillId="0" borderId="1" xfId="0" applyNumberFormat="1" applyFont="1" applyBorder="1" applyAlignment="1">
      <alignment wrapText="1"/>
    </xf>
    <xf numFmtId="43" fontId="7" fillId="0" borderId="0" xfId="2" applyFont="1"/>
    <xf numFmtId="0" fontId="7" fillId="0" borderId="1" xfId="0" applyFont="1" applyBorder="1" applyAlignment="1">
      <alignment wrapText="1"/>
    </xf>
    <xf numFmtId="4" fontId="7" fillId="3" borderId="1" xfId="0" applyNumberFormat="1" applyFont="1" applyFill="1" applyBorder="1" applyAlignment="1">
      <alignment wrapText="1"/>
    </xf>
    <xf numFmtId="43" fontId="15" fillId="0" borderId="1" xfId="2" applyFont="1" applyBorder="1"/>
    <xf numFmtId="43" fontId="15" fillId="0" borderId="0" xfId="0" applyNumberFormat="1" applyFont="1"/>
    <xf numFmtId="0" fontId="15" fillId="0" borderId="1" xfId="0" applyFont="1" applyBorder="1"/>
    <xf numFmtId="4" fontId="7" fillId="0" borderId="2" xfId="0" applyNumberFormat="1" applyFont="1" applyBorder="1" applyAlignment="1">
      <alignment wrapText="1"/>
    </xf>
    <xf numFmtId="4" fontId="16" fillId="0" borderId="14" xfId="0" applyNumberFormat="1" applyFont="1" applyBorder="1" applyAlignment="1">
      <alignment wrapText="1"/>
    </xf>
    <xf numFmtId="43" fontId="15" fillId="0" borderId="14" xfId="2" applyFont="1" applyBorder="1"/>
    <xf numFmtId="0" fontId="11" fillId="0" borderId="0" xfId="0" applyFont="1" applyFill="1" applyAlignment="1">
      <alignment horizontal="center" wrapText="1"/>
    </xf>
    <xf numFmtId="0" fontId="11" fillId="8" borderId="0" xfId="0" applyFont="1" applyFill="1" applyAlignment="1">
      <alignment horizontal="center" wrapText="1"/>
    </xf>
    <xf numFmtId="0" fontId="11" fillId="8" borderId="13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7" xfId="0" applyNumberFormat="1" applyFont="1" applyBorder="1" applyAlignment="1">
      <alignment horizontal="left"/>
    </xf>
    <xf numFmtId="4" fontId="7" fillId="0" borderId="15" xfId="0" applyNumberFormat="1" applyFont="1" applyBorder="1" applyAlignment="1">
      <alignment horizontal="left"/>
    </xf>
  </cellXfs>
  <cellStyles count="3">
    <cellStyle name="Comma" xfId="2" builtinId="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B28" zoomScale="63" zoomScaleNormal="70" workbookViewId="0">
      <selection activeCell="D41" sqref="D41"/>
    </sheetView>
  </sheetViews>
  <sheetFormatPr defaultColWidth="8.6640625" defaultRowHeight="15" customHeight="1" x14ac:dyDescent="0.3"/>
  <cols>
    <col min="1" max="1" width="50.44140625" style="5" customWidth="1"/>
    <col min="2" max="2" width="84.33203125" style="2" customWidth="1"/>
    <col min="3" max="3" width="29.109375" style="2" customWidth="1"/>
    <col min="4" max="4" width="26" customWidth="1"/>
    <col min="5" max="5" width="25" customWidth="1"/>
    <col min="6" max="6" width="20.44140625" customWidth="1"/>
    <col min="7" max="7" width="27.33203125" bestFit="1" customWidth="1"/>
    <col min="8" max="8" width="27.33203125" customWidth="1"/>
    <col min="9" max="9" width="19.6640625" customWidth="1"/>
    <col min="10" max="10" width="21.44140625" customWidth="1"/>
    <col min="11" max="11" width="25.44140625" customWidth="1"/>
  </cols>
  <sheetData>
    <row r="1" spans="1:11" ht="34.950000000000003" customHeight="1" x14ac:dyDescent="0.4">
      <c r="A1" s="14" t="s">
        <v>0</v>
      </c>
      <c r="B1" s="1" t="s">
        <v>55</v>
      </c>
      <c r="C1" s="47"/>
      <c r="D1" s="6"/>
      <c r="E1" s="6"/>
      <c r="F1" s="6"/>
      <c r="G1" s="6"/>
      <c r="H1" s="6"/>
      <c r="I1" s="6"/>
      <c r="J1" s="6"/>
      <c r="K1" s="6"/>
    </row>
    <row r="2" spans="1:11" ht="34.950000000000003" customHeight="1" x14ac:dyDescent="0.4">
      <c r="A2" s="37" t="s">
        <v>1</v>
      </c>
      <c r="B2" s="4" t="s">
        <v>2</v>
      </c>
      <c r="C2" s="47"/>
      <c r="D2" s="6"/>
      <c r="E2" s="6"/>
      <c r="F2" s="6"/>
      <c r="G2" s="6"/>
      <c r="H2" s="6"/>
      <c r="I2" s="6"/>
      <c r="J2" s="6"/>
      <c r="K2" s="6"/>
    </row>
    <row r="3" spans="1:11" ht="34.950000000000003" customHeight="1" x14ac:dyDescent="0.4">
      <c r="A3" s="37" t="s">
        <v>3</v>
      </c>
      <c r="B3" s="4" t="s">
        <v>4</v>
      </c>
      <c r="C3" s="47"/>
      <c r="D3" s="6"/>
      <c r="E3" s="6"/>
      <c r="F3" s="6"/>
      <c r="G3" s="6"/>
      <c r="H3" s="6"/>
      <c r="I3" s="6"/>
      <c r="J3" s="6"/>
      <c r="K3" s="6"/>
    </row>
    <row r="4" spans="1:11" ht="34.950000000000003" customHeight="1" x14ac:dyDescent="0.4">
      <c r="A4" s="37" t="s">
        <v>5</v>
      </c>
      <c r="B4" s="4"/>
      <c r="C4" s="47"/>
      <c r="D4" s="6"/>
      <c r="E4" s="6"/>
      <c r="F4" s="6"/>
      <c r="G4" s="6"/>
      <c r="H4" s="6"/>
      <c r="I4" s="6"/>
      <c r="J4" s="6"/>
      <c r="K4" s="6"/>
    </row>
    <row r="5" spans="1:11" ht="31.95" customHeight="1" x14ac:dyDescent="0.4">
      <c r="A5" s="7" t="s">
        <v>6</v>
      </c>
      <c r="B5" s="8" t="s">
        <v>7</v>
      </c>
      <c r="C5" s="48"/>
      <c r="D5" s="6"/>
      <c r="E5" s="6"/>
      <c r="F5" s="6"/>
      <c r="G5" s="6"/>
      <c r="H5" s="6"/>
      <c r="I5" s="6"/>
      <c r="J5" s="6"/>
      <c r="K5" s="6"/>
    </row>
    <row r="6" spans="1:11" ht="36.75" customHeight="1" x14ac:dyDescent="0.4">
      <c r="A6" s="9" t="s">
        <v>8</v>
      </c>
      <c r="B6" s="10" t="s">
        <v>54</v>
      </c>
      <c r="C6" s="48"/>
      <c r="D6" s="6"/>
      <c r="E6" s="6"/>
      <c r="F6" s="6"/>
      <c r="G6" s="6"/>
      <c r="H6" s="6"/>
      <c r="I6" s="6"/>
      <c r="J6" s="6"/>
      <c r="K6" s="6"/>
    </row>
    <row r="7" spans="1:11" ht="31.95" customHeight="1" x14ac:dyDescent="0.4">
      <c r="A7" s="9" t="s">
        <v>9</v>
      </c>
      <c r="B7" s="10" t="s">
        <v>65</v>
      </c>
      <c r="C7" s="48"/>
      <c r="D7" s="6"/>
      <c r="E7" s="6"/>
      <c r="F7" s="6"/>
      <c r="G7" s="6"/>
      <c r="H7" s="6"/>
      <c r="I7" s="6"/>
      <c r="J7" s="6"/>
      <c r="K7" s="6"/>
    </row>
    <row r="8" spans="1:11" ht="39.75" customHeight="1" x14ac:dyDescent="0.4">
      <c r="A8" s="9" t="s">
        <v>10</v>
      </c>
      <c r="B8" s="10" t="s">
        <v>64</v>
      </c>
      <c r="C8" s="48"/>
      <c r="D8" s="6"/>
      <c r="E8" s="6"/>
      <c r="F8" s="6"/>
      <c r="G8" s="6"/>
      <c r="H8" s="6"/>
      <c r="I8" s="6"/>
      <c r="J8" s="6"/>
      <c r="K8" s="6"/>
    </row>
    <row r="9" spans="1:11" ht="31.95" customHeight="1" x14ac:dyDescent="0.4">
      <c r="A9" s="9" t="s">
        <v>11</v>
      </c>
      <c r="B9" s="10" t="s">
        <v>12</v>
      </c>
      <c r="C9" s="48"/>
      <c r="D9" s="6"/>
      <c r="E9" s="6"/>
      <c r="F9" s="6"/>
      <c r="G9" s="6"/>
      <c r="H9" s="6"/>
      <c r="I9" s="6"/>
      <c r="J9" s="6"/>
      <c r="K9" s="6"/>
    </row>
    <row r="10" spans="1:11" ht="31.95" customHeight="1" x14ac:dyDescent="0.4">
      <c r="A10" s="9" t="s">
        <v>13</v>
      </c>
      <c r="B10" s="10" t="s">
        <v>14</v>
      </c>
      <c r="C10" s="48"/>
      <c r="D10" s="6"/>
      <c r="E10" s="6"/>
      <c r="F10" s="6"/>
      <c r="G10" s="6"/>
      <c r="H10" s="6"/>
      <c r="I10" s="6"/>
      <c r="J10" s="6"/>
      <c r="K10" s="6"/>
    </row>
    <row r="11" spans="1:11" ht="31.95" customHeight="1" x14ac:dyDescent="0.4">
      <c r="A11" s="9" t="s">
        <v>15</v>
      </c>
      <c r="B11" s="10" t="s">
        <v>59</v>
      </c>
      <c r="C11" s="48"/>
      <c r="D11" s="6"/>
      <c r="E11" s="6"/>
      <c r="F11" s="6"/>
      <c r="G11" s="6"/>
      <c r="H11" s="6"/>
      <c r="I11" s="6"/>
      <c r="J11" s="6"/>
      <c r="K11" s="6"/>
    </row>
    <row r="12" spans="1:11" ht="31.95" customHeight="1" x14ac:dyDescent="0.4">
      <c r="A12" s="9" t="s">
        <v>16</v>
      </c>
      <c r="B12" s="36">
        <v>350000</v>
      </c>
      <c r="C12" s="49"/>
      <c r="D12" s="6"/>
      <c r="E12" s="6"/>
      <c r="F12" s="6"/>
      <c r="G12" s="6"/>
      <c r="H12" s="6"/>
      <c r="I12" s="6"/>
      <c r="J12" s="6"/>
      <c r="K12" s="6"/>
    </row>
    <row r="13" spans="1:11" ht="31.95" customHeight="1" x14ac:dyDescent="0.4">
      <c r="A13" s="9" t="s">
        <v>17</v>
      </c>
      <c r="B13" s="10" t="s">
        <v>18</v>
      </c>
      <c r="C13" s="48"/>
      <c r="D13" s="6"/>
      <c r="E13" s="6"/>
      <c r="F13" s="6"/>
      <c r="G13" s="6"/>
      <c r="H13" s="6"/>
      <c r="I13" s="6"/>
      <c r="J13" s="6"/>
      <c r="K13" s="6"/>
    </row>
    <row r="14" spans="1:11" ht="36" customHeight="1" x14ac:dyDescent="0.4">
      <c r="A14" s="9" t="s">
        <v>19</v>
      </c>
      <c r="B14" s="35" t="s">
        <v>63</v>
      </c>
      <c r="C14" s="50"/>
      <c r="D14" s="6"/>
      <c r="E14" s="6"/>
      <c r="F14" s="6"/>
      <c r="G14" s="6"/>
      <c r="H14" s="6"/>
      <c r="I14" s="6"/>
      <c r="J14" s="6"/>
      <c r="K14" s="6"/>
    </row>
    <row r="15" spans="1:11" ht="31.95" customHeight="1" x14ac:dyDescent="0.4">
      <c r="A15" s="9" t="s">
        <v>20</v>
      </c>
      <c r="B15" s="10" t="s">
        <v>66</v>
      </c>
      <c r="C15" s="48"/>
      <c r="D15" s="6"/>
      <c r="E15" s="6"/>
      <c r="F15" s="6"/>
      <c r="G15" s="6"/>
      <c r="H15" s="6"/>
      <c r="I15" s="6"/>
      <c r="J15" s="6"/>
      <c r="K15" s="6"/>
    </row>
    <row r="16" spans="1:11" ht="31.95" customHeight="1" x14ac:dyDescent="0.4">
      <c r="A16" s="9" t="s">
        <v>21</v>
      </c>
      <c r="B16" s="11" t="s">
        <v>68</v>
      </c>
      <c r="C16" s="51"/>
      <c r="D16" s="6"/>
      <c r="E16" s="6"/>
      <c r="F16" s="6"/>
      <c r="G16" s="6"/>
      <c r="H16" s="6"/>
      <c r="I16" s="6"/>
      <c r="J16" s="6"/>
      <c r="K16" s="6"/>
    </row>
    <row r="17" spans="1:11" ht="31.95" customHeight="1" x14ac:dyDescent="0.4">
      <c r="A17" s="9" t="s">
        <v>22</v>
      </c>
      <c r="B17" s="10" t="s">
        <v>56</v>
      </c>
      <c r="C17" s="48"/>
      <c r="D17" s="6"/>
      <c r="E17" s="6"/>
      <c r="F17" s="6"/>
      <c r="G17" s="6"/>
      <c r="H17" s="6"/>
      <c r="I17" s="6"/>
      <c r="J17" s="6"/>
      <c r="K17" s="6"/>
    </row>
    <row r="18" spans="1:11" ht="31.05" customHeight="1" x14ac:dyDescent="0.4">
      <c r="A18" s="9" t="s">
        <v>23</v>
      </c>
      <c r="B18" s="13" t="s">
        <v>67</v>
      </c>
      <c r="C18" s="48"/>
      <c r="D18" s="33"/>
      <c r="E18" s="6"/>
      <c r="F18" s="6"/>
      <c r="G18" s="6"/>
      <c r="H18" s="6"/>
      <c r="I18" s="6"/>
      <c r="J18" s="6"/>
      <c r="K18" s="6"/>
    </row>
    <row r="19" spans="1:11" ht="31.95" customHeight="1" x14ac:dyDescent="0.4">
      <c r="A19" s="24" t="s">
        <v>24</v>
      </c>
      <c r="B19" s="23" t="s">
        <v>25</v>
      </c>
      <c r="C19" s="52"/>
      <c r="D19" s="6"/>
      <c r="E19" s="6"/>
      <c r="F19" s="6"/>
      <c r="G19" s="6"/>
      <c r="H19" s="6"/>
      <c r="I19" s="6"/>
      <c r="J19" s="6"/>
      <c r="K19" s="6"/>
    </row>
    <row r="20" spans="1:11" ht="161.25" customHeight="1" x14ac:dyDescent="0.4">
      <c r="A20" s="9" t="s">
        <v>26</v>
      </c>
      <c r="B20" s="8" t="s">
        <v>60</v>
      </c>
      <c r="C20" s="48"/>
      <c r="D20" s="6"/>
      <c r="E20" s="6"/>
      <c r="F20" s="6"/>
      <c r="G20" s="6"/>
      <c r="H20" s="6"/>
      <c r="I20" s="6"/>
      <c r="J20" s="6"/>
      <c r="K20" s="6"/>
    </row>
    <row r="21" spans="1:11" ht="31.95" customHeight="1" x14ac:dyDescent="0.4">
      <c r="A21" s="9" t="s">
        <v>27</v>
      </c>
      <c r="B21" s="10" t="s">
        <v>29</v>
      </c>
      <c r="C21" s="48"/>
      <c r="D21" s="6"/>
      <c r="E21" s="6"/>
      <c r="F21" s="6"/>
      <c r="G21" s="6"/>
      <c r="H21" s="6"/>
      <c r="I21" s="6"/>
      <c r="J21" s="6"/>
      <c r="K21" s="6"/>
    </row>
    <row r="22" spans="1:11" ht="31.95" customHeight="1" x14ac:dyDescent="0.4">
      <c r="A22" s="9" t="s">
        <v>28</v>
      </c>
      <c r="B22" s="10" t="s">
        <v>29</v>
      </c>
      <c r="C22" s="48"/>
      <c r="D22" s="6"/>
      <c r="E22" s="6"/>
      <c r="F22" s="6"/>
      <c r="G22" s="6"/>
      <c r="H22" s="6"/>
      <c r="I22" s="6"/>
      <c r="J22" s="6"/>
      <c r="K22" s="6"/>
    </row>
    <row r="23" spans="1:11" ht="31.95" customHeight="1" x14ac:dyDescent="0.4">
      <c r="A23" s="9" t="s">
        <v>30</v>
      </c>
      <c r="B23" s="25" t="s">
        <v>61</v>
      </c>
      <c r="C23" s="53"/>
      <c r="D23" s="26"/>
      <c r="E23" s="6"/>
      <c r="F23" s="6"/>
      <c r="G23" s="6"/>
      <c r="H23" s="6"/>
      <c r="I23" s="6"/>
      <c r="J23" s="6"/>
      <c r="K23" s="6"/>
    </row>
    <row r="24" spans="1:11" ht="45" customHeight="1" x14ac:dyDescent="0.4">
      <c r="A24" s="9" t="s">
        <v>31</v>
      </c>
      <c r="B24" s="10" t="s">
        <v>57</v>
      </c>
      <c r="C24" s="48"/>
      <c r="D24" s="6"/>
      <c r="E24" s="6"/>
      <c r="F24" s="6"/>
      <c r="G24" s="6"/>
      <c r="H24" s="6"/>
      <c r="I24" s="6"/>
      <c r="J24" s="6"/>
      <c r="K24" s="6"/>
    </row>
    <row r="25" spans="1:11" ht="36.75" customHeight="1" x14ac:dyDescent="0.4">
      <c r="A25" s="9" t="s">
        <v>32</v>
      </c>
      <c r="B25" s="10" t="s">
        <v>33</v>
      </c>
      <c r="C25" s="48"/>
      <c r="D25" s="6"/>
      <c r="E25" s="6"/>
      <c r="F25" s="6"/>
      <c r="G25" s="6"/>
      <c r="H25" s="6"/>
      <c r="I25" s="6"/>
      <c r="J25" s="6"/>
      <c r="K25" s="6"/>
    </row>
    <row r="26" spans="1:11" ht="31.95" customHeight="1" x14ac:dyDescent="0.4">
      <c r="A26" s="12" t="s">
        <v>34</v>
      </c>
      <c r="B26" s="13" t="s">
        <v>62</v>
      </c>
      <c r="C26" s="48"/>
      <c r="D26" s="6"/>
      <c r="E26" s="6"/>
      <c r="F26" s="6"/>
      <c r="G26" s="6"/>
      <c r="H26" s="6"/>
      <c r="I26" s="6"/>
      <c r="J26" s="6"/>
      <c r="K26" s="6"/>
    </row>
    <row r="27" spans="1:11" ht="31.95" customHeight="1" x14ac:dyDescent="0.4">
      <c r="A27" s="14" t="s">
        <v>35</v>
      </c>
      <c r="B27" s="28" t="s">
        <v>36</v>
      </c>
      <c r="C27" s="54"/>
      <c r="D27" s="6"/>
      <c r="E27" s="6"/>
      <c r="F27" s="6"/>
      <c r="G27" s="6"/>
      <c r="H27" s="6"/>
      <c r="I27" s="6"/>
      <c r="J27" s="6"/>
      <c r="K27" s="6"/>
    </row>
    <row r="28" spans="1:11" ht="31.95" customHeight="1" x14ac:dyDescent="0.4">
      <c r="A28" s="27" t="s">
        <v>37</v>
      </c>
      <c r="B28" s="34" t="s">
        <v>58</v>
      </c>
      <c r="C28" s="55"/>
      <c r="D28" s="6"/>
      <c r="E28" s="6"/>
      <c r="F28" s="6"/>
      <c r="G28" s="6"/>
      <c r="H28" s="6"/>
      <c r="I28" s="6"/>
      <c r="J28" s="6"/>
      <c r="K28" s="6"/>
    </row>
    <row r="29" spans="1:11" ht="31.95" customHeight="1" x14ac:dyDescent="0.4">
      <c r="A29" s="14" t="s">
        <v>38</v>
      </c>
      <c r="B29" s="4" t="s">
        <v>39</v>
      </c>
      <c r="C29" s="47"/>
      <c r="D29" s="6"/>
      <c r="E29" s="6"/>
      <c r="F29" s="6"/>
      <c r="G29" s="6"/>
      <c r="H29" s="6"/>
      <c r="I29" s="6"/>
      <c r="J29" s="6"/>
      <c r="K29" s="6"/>
    </row>
    <row r="30" spans="1:11" ht="31.95" customHeight="1" x14ac:dyDescent="0.4">
      <c r="A30" s="14" t="s">
        <v>40</v>
      </c>
      <c r="B30" s="19">
        <v>21000</v>
      </c>
      <c r="C30" s="56"/>
      <c r="D30" s="6"/>
      <c r="E30" s="6"/>
      <c r="F30" s="6"/>
      <c r="G30" s="6"/>
      <c r="H30" s="6"/>
      <c r="I30" s="6"/>
      <c r="J30" s="6"/>
      <c r="K30" s="6"/>
    </row>
    <row r="31" spans="1:11" ht="31.95" customHeight="1" x14ac:dyDescent="0.4">
      <c r="A31" s="14" t="s">
        <v>41</v>
      </c>
      <c r="B31" s="32" t="s">
        <v>52</v>
      </c>
      <c r="C31" s="42"/>
      <c r="D31" s="6"/>
      <c r="E31" s="6"/>
      <c r="F31" s="6"/>
      <c r="G31" s="6"/>
      <c r="H31" s="6"/>
      <c r="I31" s="6"/>
      <c r="J31" s="6"/>
      <c r="K31" s="6"/>
    </row>
    <row r="32" spans="1:11" ht="31.95" customHeight="1" x14ac:dyDescent="0.4">
      <c r="A32" s="43"/>
      <c r="B32" s="42"/>
      <c r="C32" s="42"/>
      <c r="D32" s="6"/>
      <c r="E32" s="6"/>
      <c r="F32" s="6"/>
      <c r="G32" s="6"/>
      <c r="H32" s="6"/>
      <c r="I32" s="6"/>
      <c r="J32" s="6"/>
      <c r="K32" s="6"/>
    </row>
    <row r="33" spans="1:11" ht="21" x14ac:dyDescent="0.4">
      <c r="A33" s="44"/>
      <c r="B33" s="70"/>
      <c r="C33" s="70"/>
      <c r="D33" s="70"/>
      <c r="E33" s="70"/>
      <c r="F33" s="70"/>
      <c r="G33" s="70"/>
      <c r="H33" s="70"/>
      <c r="I33" s="70"/>
      <c r="J33" s="6"/>
      <c r="K33" s="6"/>
    </row>
    <row r="34" spans="1:11" s="3" customFormat="1" ht="20.55" customHeight="1" x14ac:dyDescent="0.4">
      <c r="A34" s="71" t="s">
        <v>70</v>
      </c>
      <c r="B34" s="71"/>
      <c r="C34" s="71"/>
      <c r="D34" s="71"/>
      <c r="E34" s="71"/>
      <c r="F34" s="71"/>
      <c r="G34" s="71"/>
      <c r="H34" s="41"/>
      <c r="I34" s="6"/>
      <c r="J34" s="6"/>
      <c r="K34" s="6"/>
    </row>
    <row r="35" spans="1:11" ht="20.55" customHeight="1" x14ac:dyDescent="0.35">
      <c r="A35" s="73" t="s">
        <v>42</v>
      </c>
      <c r="B35" s="15" t="s">
        <v>43</v>
      </c>
      <c r="C35" s="15"/>
      <c r="D35" s="15" t="s">
        <v>44</v>
      </c>
      <c r="E35" s="15" t="s">
        <v>45</v>
      </c>
      <c r="F35" s="15" t="s">
        <v>46</v>
      </c>
      <c r="G35" s="75" t="s">
        <v>47</v>
      </c>
      <c r="H35" s="76"/>
      <c r="I35" s="77"/>
      <c r="J35" s="15" t="s">
        <v>53</v>
      </c>
      <c r="K35" s="15" t="s">
        <v>48</v>
      </c>
    </row>
    <row r="36" spans="1:11" ht="20.55" customHeight="1" x14ac:dyDescent="0.4">
      <c r="A36" s="74"/>
      <c r="B36" s="22" t="s">
        <v>49</v>
      </c>
      <c r="C36" s="22"/>
      <c r="D36" s="22" t="s">
        <v>49</v>
      </c>
      <c r="E36" s="22"/>
      <c r="F36" s="22" t="s">
        <v>49</v>
      </c>
      <c r="G36" s="22"/>
      <c r="H36" s="22"/>
      <c r="I36" s="22" t="s">
        <v>49</v>
      </c>
      <c r="J36" s="22" t="s">
        <v>49</v>
      </c>
      <c r="K36" s="22"/>
    </row>
    <row r="37" spans="1:11" ht="20.55" customHeight="1" x14ac:dyDescent="0.4">
      <c r="A37" s="16" t="s">
        <v>71</v>
      </c>
      <c r="B37" s="78">
        <v>350000</v>
      </c>
      <c r="C37" s="78"/>
      <c r="D37" s="79">
        <f>B37*3</f>
        <v>1050000</v>
      </c>
      <c r="E37" s="17" t="s">
        <v>50</v>
      </c>
      <c r="F37" s="58">
        <f>SUM(D37:D40)</f>
        <v>4200000</v>
      </c>
      <c r="G37" s="17" t="s">
        <v>51</v>
      </c>
      <c r="H37" s="17"/>
      <c r="I37" s="18">
        <f>B37*3</f>
        <v>1050000</v>
      </c>
      <c r="J37" s="19">
        <f>F37*0.5%</f>
        <v>21000</v>
      </c>
      <c r="K37" s="20"/>
    </row>
    <row r="38" spans="1:11" ht="20.55" customHeight="1" x14ac:dyDescent="0.4">
      <c r="A38" s="16" t="s">
        <v>72</v>
      </c>
      <c r="B38" s="78">
        <v>350000</v>
      </c>
      <c r="C38" s="78"/>
      <c r="D38" s="79">
        <f>B38*3</f>
        <v>1050000</v>
      </c>
      <c r="E38" s="17" t="s">
        <v>50</v>
      </c>
      <c r="F38" s="17"/>
      <c r="G38" s="17"/>
      <c r="H38" s="17"/>
      <c r="I38" s="17"/>
      <c r="J38" s="17"/>
      <c r="K38" s="6"/>
    </row>
    <row r="39" spans="1:11" ht="20.55" customHeight="1" x14ac:dyDescent="0.4">
      <c r="A39" s="16" t="s">
        <v>73</v>
      </c>
      <c r="B39" s="78">
        <v>350000</v>
      </c>
      <c r="C39" s="78"/>
      <c r="D39" s="80">
        <f>B39*3</f>
        <v>1050000</v>
      </c>
      <c r="E39" s="29" t="s">
        <v>50</v>
      </c>
      <c r="F39" s="17"/>
      <c r="G39" s="17"/>
      <c r="H39" s="17"/>
      <c r="I39" s="17"/>
      <c r="J39" s="17"/>
      <c r="K39" s="6"/>
    </row>
    <row r="40" spans="1:11" ht="21" x14ac:dyDescent="0.4">
      <c r="A40" s="16" t="s">
        <v>74</v>
      </c>
      <c r="B40" s="78">
        <v>350000</v>
      </c>
      <c r="C40" s="78"/>
      <c r="D40" s="81">
        <f>B40*3</f>
        <v>1050000</v>
      </c>
      <c r="E40" s="30" t="s">
        <v>50</v>
      </c>
      <c r="F40" s="31"/>
      <c r="G40" s="17"/>
      <c r="H40" s="17"/>
      <c r="I40" s="17"/>
      <c r="J40" s="17"/>
      <c r="K40" s="6"/>
    </row>
    <row r="41" spans="1:11" ht="15" customHeight="1" x14ac:dyDescent="0.4">
      <c r="B41" s="21"/>
      <c r="C41" s="21"/>
      <c r="D41" s="6"/>
      <c r="E41" s="6"/>
      <c r="F41" s="6"/>
      <c r="G41" s="6"/>
      <c r="H41" s="6"/>
      <c r="I41" s="6"/>
      <c r="J41" s="6"/>
      <c r="K41" s="6"/>
    </row>
    <row r="43" spans="1:11" ht="15" customHeight="1" x14ac:dyDescent="0.3">
      <c r="A43" s="72" t="s">
        <v>69</v>
      </c>
      <c r="B43" s="72"/>
      <c r="C43" s="57"/>
      <c r="D43" s="41"/>
      <c r="E43" s="41"/>
      <c r="F43" s="38"/>
      <c r="G43" s="38"/>
      <c r="H43" s="38"/>
      <c r="I43" s="38"/>
      <c r="J43" s="38"/>
      <c r="K43" s="38"/>
    </row>
    <row r="44" spans="1:11" ht="15" customHeight="1" x14ac:dyDescent="0.35">
      <c r="A44" s="73" t="s">
        <v>42</v>
      </c>
      <c r="B44" s="15" t="s">
        <v>43</v>
      </c>
      <c r="C44" s="15"/>
      <c r="D44" s="15" t="s">
        <v>44</v>
      </c>
      <c r="E44" s="15" t="s">
        <v>45</v>
      </c>
      <c r="F44" s="15" t="s">
        <v>46</v>
      </c>
      <c r="G44" s="75" t="s">
        <v>47</v>
      </c>
      <c r="H44" s="76"/>
      <c r="I44" s="77"/>
      <c r="J44" s="15" t="s">
        <v>53</v>
      </c>
      <c r="K44" s="15" t="s">
        <v>48</v>
      </c>
    </row>
    <row r="45" spans="1:11" ht="15" customHeight="1" x14ac:dyDescent="0.4">
      <c r="A45" s="74"/>
      <c r="B45" s="22" t="s">
        <v>75</v>
      </c>
      <c r="C45" s="22" t="s">
        <v>76</v>
      </c>
      <c r="D45" s="22" t="s">
        <v>49</v>
      </c>
      <c r="E45" s="22"/>
      <c r="F45" s="22" t="s">
        <v>76</v>
      </c>
      <c r="G45" s="22"/>
      <c r="H45" s="22" t="s">
        <v>76</v>
      </c>
      <c r="I45" s="22" t="s">
        <v>49</v>
      </c>
      <c r="J45" s="22"/>
      <c r="K45" s="22"/>
    </row>
    <row r="46" spans="1:11" ht="21.6" customHeight="1" x14ac:dyDescent="0.4">
      <c r="A46" s="45" t="s">
        <v>71</v>
      </c>
      <c r="B46" s="59">
        <v>1300</v>
      </c>
      <c r="C46" s="60">
        <f>1300*3</f>
        <v>3900</v>
      </c>
      <c r="D46" s="61">
        <f>C46*K46</f>
        <v>1220895</v>
      </c>
      <c r="E46" s="62" t="s">
        <v>50</v>
      </c>
      <c r="F46" s="63">
        <f>C50</f>
        <v>15600</v>
      </c>
      <c r="G46" s="62" t="s">
        <v>51</v>
      </c>
      <c r="H46" s="64">
        <f>B47*3</f>
        <v>3900</v>
      </c>
      <c r="I46" s="65">
        <f>H46*K46</f>
        <v>1220895</v>
      </c>
      <c r="J46" s="60">
        <f>D50*0.5%</f>
        <v>24417.9</v>
      </c>
      <c r="K46" s="63">
        <v>313.05</v>
      </c>
    </row>
    <row r="47" spans="1:11" ht="18.600000000000001" customHeight="1" x14ac:dyDescent="0.4">
      <c r="A47" s="45" t="s">
        <v>72</v>
      </c>
      <c r="B47" s="59">
        <v>1300</v>
      </c>
      <c r="C47" s="60">
        <f t="shared" ref="C47:C49" si="0">1300*3</f>
        <v>3900</v>
      </c>
      <c r="D47" s="61">
        <f>C47*K46</f>
        <v>1220895</v>
      </c>
      <c r="E47" s="62" t="s">
        <v>50</v>
      </c>
      <c r="F47" s="60"/>
      <c r="G47" s="62"/>
      <c r="H47" s="62"/>
      <c r="I47" s="66"/>
      <c r="J47" s="62"/>
      <c r="K47" s="62"/>
    </row>
    <row r="48" spans="1:11" ht="22.8" customHeight="1" x14ac:dyDescent="0.4">
      <c r="A48" s="45" t="s">
        <v>73</v>
      </c>
      <c r="B48" s="59">
        <v>1300</v>
      </c>
      <c r="C48" s="60">
        <f t="shared" si="0"/>
        <v>3900</v>
      </c>
      <c r="D48" s="61">
        <f>C48*K46</f>
        <v>1220895</v>
      </c>
      <c r="E48" s="62" t="s">
        <v>50</v>
      </c>
      <c r="F48" s="60"/>
      <c r="G48" s="62"/>
      <c r="H48" s="62"/>
      <c r="I48" s="66"/>
      <c r="J48" s="62"/>
      <c r="K48" s="62"/>
    </row>
    <row r="49" spans="1:11" ht="28.2" customHeight="1" x14ac:dyDescent="0.4">
      <c r="A49" s="45" t="s">
        <v>74</v>
      </c>
      <c r="B49" s="59">
        <v>1300</v>
      </c>
      <c r="C49" s="67">
        <f t="shared" si="0"/>
        <v>3900</v>
      </c>
      <c r="D49" s="61">
        <f>C49*K46</f>
        <v>1220895</v>
      </c>
      <c r="E49" s="62" t="s">
        <v>50</v>
      </c>
      <c r="F49" s="67"/>
      <c r="G49" s="62"/>
      <c r="H49" s="62"/>
      <c r="I49" s="66"/>
      <c r="J49" s="62"/>
      <c r="K49" s="62"/>
    </row>
    <row r="50" spans="1:11" ht="26.4" customHeight="1" thickBot="1" x14ac:dyDescent="0.45">
      <c r="A50" s="39"/>
      <c r="B50" s="40"/>
      <c r="C50" s="68">
        <f>SUM(C46:C49)</f>
        <v>15600</v>
      </c>
      <c r="D50" s="69">
        <f>SUM(D46:D49)</f>
        <v>4883580</v>
      </c>
      <c r="F50" s="46"/>
      <c r="G50" s="38"/>
      <c r="H50" s="38"/>
      <c r="I50" s="38"/>
      <c r="J50" s="38"/>
      <c r="K50" s="38"/>
    </row>
    <row r="51" spans="1:11" ht="15" customHeight="1" thickTop="1" x14ac:dyDescent="0.3"/>
  </sheetData>
  <mergeCells count="7">
    <mergeCell ref="B33:I33"/>
    <mergeCell ref="A34:G34"/>
    <mergeCell ref="A43:B43"/>
    <mergeCell ref="A44:A45"/>
    <mergeCell ref="G44:I44"/>
    <mergeCell ref="A35:A36"/>
    <mergeCell ref="G35:I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Taneesha</dc:creator>
  <cp:keywords/>
  <dc:description/>
  <cp:lastModifiedBy>Taneesha</cp:lastModifiedBy>
  <cp:revision/>
  <dcterms:created xsi:type="dcterms:W3CDTF">2026-02-09T04:22:32Z</dcterms:created>
  <dcterms:modified xsi:type="dcterms:W3CDTF">2026-05-08T11:17:23Z</dcterms:modified>
  <cp:category/>
  <cp:contentStatus/>
</cp:coreProperties>
</file>