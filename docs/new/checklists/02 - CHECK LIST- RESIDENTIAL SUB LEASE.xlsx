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check lis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" l="1"/>
  <c r="F48" i="1"/>
  <c r="H48" i="1" s="1"/>
  <c r="I48" i="1" s="1"/>
  <c r="D48" i="1"/>
  <c r="E48" i="1" s="1"/>
  <c r="C48" i="1"/>
  <c r="F47" i="1"/>
  <c r="H47" i="1" s="1"/>
  <c r="I47" i="1" s="1"/>
  <c r="D47" i="1"/>
  <c r="E47" i="1" s="1"/>
  <c r="C47" i="1"/>
  <c r="H46" i="1"/>
  <c r="I46" i="1" s="1"/>
  <c r="F46" i="1"/>
  <c r="G46" i="1" s="1"/>
  <c r="D46" i="1"/>
  <c r="E46" i="1" s="1"/>
  <c r="C46" i="1"/>
  <c r="P45" i="1"/>
  <c r="Q45" i="1" s="1"/>
  <c r="K45" i="1"/>
  <c r="M45" i="1" s="1"/>
  <c r="N45" i="1" s="1"/>
  <c r="T45" i="1" s="1"/>
  <c r="H45" i="1"/>
  <c r="I45" i="1" s="1"/>
  <c r="F45" i="1"/>
  <c r="G45" i="1" s="1"/>
  <c r="D45" i="1"/>
  <c r="E45" i="1" s="1"/>
  <c r="C45" i="1"/>
  <c r="R45" i="1" l="1"/>
  <c r="S45" i="1" s="1"/>
  <c r="V48" i="1"/>
  <c r="L45" i="1"/>
  <c r="G47" i="1"/>
</calcChain>
</file>

<file path=xl/sharedStrings.xml><?xml version="1.0" encoding="utf-8"?>
<sst xmlns="http://schemas.openxmlformats.org/spreadsheetml/2006/main" count="119" uniqueCount="89">
  <si>
    <t xml:space="preserve">Premises address </t>
  </si>
  <si>
    <t xml:space="preserve">294 43/4, &amp; 294 44/4, Dr. Colvin R De Silva Mawatha </t>
  </si>
  <si>
    <t>Property Investment Advisor Name</t>
  </si>
  <si>
    <t>Minoli Wickramasinghe</t>
  </si>
  <si>
    <t>CTP Lawyer Name</t>
  </si>
  <si>
    <t>Taneesha Weerasinghe</t>
  </si>
  <si>
    <t>Landlord's Lawyer Name &amp; phone numbers</t>
  </si>
  <si>
    <t xml:space="preserve">Lease/Rent Agreements </t>
  </si>
  <si>
    <t>Lessor's Name &amp; ID or Company No.</t>
  </si>
  <si>
    <t>Lessor's Address</t>
  </si>
  <si>
    <t>Lessee's Name &amp; ID No.  or Company No.</t>
  </si>
  <si>
    <t xml:space="preserve">AMALIA CAPILI LAGRIMAS (Holder of Philippine Passport No. P 9976687 B) </t>
  </si>
  <si>
    <t>Lessee’s Current Employer</t>
  </si>
  <si>
    <t>MASTEROCK LIMITED</t>
  </si>
  <si>
    <t>Lessee's Address</t>
  </si>
  <si>
    <t>No. 315, Vauxhall Street, Colombo 02</t>
  </si>
  <si>
    <t>Apartment name</t>
  </si>
  <si>
    <t>TRIZEN</t>
  </si>
  <si>
    <t>Unit Nos.</t>
  </si>
  <si>
    <t>X/3/L43/U4 &amp; X/3/L44/U4</t>
  </si>
  <si>
    <t>Lease/Rent Period</t>
  </si>
  <si>
    <t>26.04.2026 to 25.04.2027</t>
  </si>
  <si>
    <r>
      <t>Monthly Rental (USD</t>
    </r>
    <r>
      <rPr>
        <b/>
        <strike/>
        <sz val="16"/>
        <rFont val="Times New Roman"/>
        <family val="1"/>
      </rPr>
      <t xml:space="preserve">/LKR </t>
    </r>
    <r>
      <rPr>
        <b/>
        <sz val="16"/>
        <rFont val="Times New Roman"/>
        <family val="1"/>
      </rPr>
      <t>)</t>
    </r>
  </si>
  <si>
    <r>
      <t>Advance payment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</si>
  <si>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t>per unit - 5,250                          Two Units- 10,500</t>
  </si>
  <si>
    <r>
      <t>Refundable deposit amount 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</si>
  <si>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t>Applicability of WHT and any other taxes</t>
  </si>
  <si>
    <t>Lessee</t>
  </si>
  <si>
    <t xml:space="preserve">If paid in USD how exchange rate is taken </t>
  </si>
  <si>
    <t>Mid-Rate</t>
  </si>
  <si>
    <t>First exchange rate taken</t>
  </si>
  <si>
    <t>(LKR)</t>
  </si>
  <si>
    <t>No. of bedrooms</t>
  </si>
  <si>
    <t xml:space="preserve">per unit - 3                      </t>
  </si>
  <si>
    <t xml:space="preserve">No. of people can accommodate </t>
  </si>
  <si>
    <t>per unit - 6 persons</t>
  </si>
  <si>
    <t>Minor repairs</t>
  </si>
  <si>
    <t>per Unit - USD 100</t>
  </si>
  <si>
    <t>Panelty for delay handover (USD)</t>
  </si>
  <si>
    <t>per day USD 100 per unit</t>
  </si>
  <si>
    <t>Maintenance &amp; cleanliness clause</t>
  </si>
  <si>
    <t>USD 75</t>
  </si>
  <si>
    <t xml:space="preserve">Mangement fees paid by </t>
  </si>
  <si>
    <t>Lessor</t>
  </si>
  <si>
    <t xml:space="preserve">Service charges paid by </t>
  </si>
  <si>
    <t xml:space="preserve">A/C Service by </t>
  </si>
  <si>
    <t xml:space="preserve">A/C service  period </t>
  </si>
  <si>
    <t>every 3 months</t>
  </si>
  <si>
    <t>Additional Charges (if any)</t>
  </si>
  <si>
    <t>N/A</t>
  </si>
  <si>
    <t xml:space="preserve">Sub letting </t>
  </si>
  <si>
    <t>NILL</t>
  </si>
  <si>
    <t xml:space="preserve">Refundable deposit to be credited to </t>
  </si>
  <si>
    <t>Prior notice of termination</t>
  </si>
  <si>
    <t>3  months</t>
  </si>
  <si>
    <t>Locking period</t>
  </si>
  <si>
    <t xml:space="preserve">Panelty for early termination </t>
  </si>
  <si>
    <t>not mentioned</t>
  </si>
  <si>
    <t>Notice of renewal</t>
  </si>
  <si>
    <t>1 month</t>
  </si>
  <si>
    <t xml:space="preserve">Legal fees - 1%  </t>
  </si>
  <si>
    <t xml:space="preserve">Either party will bear its own legal expenses </t>
  </si>
  <si>
    <t>Stamp duty - 2%</t>
  </si>
  <si>
    <t>Period</t>
  </si>
  <si>
    <t>Monthly Rent</t>
  </si>
  <si>
    <t xml:space="preserve"> Three Months Rent  </t>
  </si>
  <si>
    <t>Payment method</t>
  </si>
  <si>
    <t>Total Rent (USD)</t>
  </si>
  <si>
    <t>Refundable Deposit</t>
  </si>
  <si>
    <t xml:space="preserve">LKR Selling Rate </t>
  </si>
  <si>
    <t xml:space="preserve"> Per Apartment</t>
  </si>
  <si>
    <t>For 02 units</t>
  </si>
  <si>
    <t>Per Apartment</t>
  </si>
  <si>
    <t xml:space="preserve"> LKR </t>
  </si>
  <si>
    <t>USD</t>
  </si>
  <si>
    <t>LKR</t>
  </si>
  <si>
    <t>2026.04.26-2026.07.25</t>
  </si>
  <si>
    <t>Every three months</t>
  </si>
  <si>
    <t xml:space="preserve"> 3 Months </t>
  </si>
  <si>
    <t>as 2026.04.27</t>
  </si>
  <si>
    <t>2026.07.26-2026.10.25</t>
  </si>
  <si>
    <t>2026.10.26-2027.01.25</t>
  </si>
  <si>
    <t>2027.01.26-2027.04.25</t>
  </si>
  <si>
    <t>Legal fees</t>
  </si>
  <si>
    <t>Total Recievables on signing</t>
  </si>
  <si>
    <t>Rent</t>
  </si>
  <si>
    <t>CAPITAL TRUST RESIDENCIES NINE (PRIVATE) LIMITED (Registration No. PV 109828 )</t>
  </si>
  <si>
    <t xml:space="preserve"> No.42, Sir Mohammed Macan Markar Mawatha Colombo 03</t>
  </si>
  <si>
    <t>SUB- TENANCY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</si>
</sst>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trike/>
      <sz val="16"/>
      <name val="Times New Roman"/>
      <family val="1"/>
    </font>
    <font>
      <b/>
      <i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wrapText="1"/>
    </xf>
    <xf numFmtId="0" fontId="5" fillId="0" borderId="0" xfId="0" applyFont="1"/>
    <xf numFmtId="0" fontId="3" fillId="3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4" fillId="4" borderId="9" xfId="2" applyFont="1" applyFill="1" applyBorder="1" applyAlignment="1">
      <alignment horizontal="left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4" fillId="4" borderId="5" xfId="2" applyFont="1" applyFill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/>
    </xf>
    <xf numFmtId="0" fontId="4" fillId="4" borderId="3" xfId="2" applyFont="1" applyFill="1" applyBorder="1" applyAlignment="1">
      <alignment horizontal="left" wrapText="1"/>
    </xf>
    <xf numFmtId="0" fontId="4" fillId="4" borderId="3" xfId="2" applyFont="1" applyFill="1" applyBorder="1" applyAlignment="1">
      <alignment wrapText="1"/>
    </xf>
    <xf numFmtId="0" fontId="5" fillId="0" borderId="0" xfId="0" applyFont="1" applyAlignment="1">
      <alignment horizontal="left"/>
    </xf>
    <xf numFmtId="8" fontId="4" fillId="4" borderId="3" xfId="2" applyNumberFormat="1" applyFont="1" applyFill="1" applyBorder="1" applyAlignment="1">
      <alignment horizontal="left" wrapText="1"/>
    </xf>
    <xf numFmtId="3" fontId="4" fillId="4" borderId="3" xfId="2" applyNumberFormat="1" applyFont="1" applyFill="1" applyBorder="1" applyAlignment="1">
      <alignment horizontal="left" wrapText="1"/>
    </xf>
    <xf numFmtId="0" fontId="3" fillId="3" borderId="14" xfId="0" applyFont="1" applyFill="1" applyBorder="1" applyAlignment="1">
      <alignment vertical="center" wrapText="1"/>
    </xf>
    <xf numFmtId="8" fontId="4" fillId="4" borderId="15" xfId="2" applyNumberFormat="1" applyFont="1" applyFill="1" applyBorder="1" applyAlignment="1">
      <alignment horizontal="left" wrapText="1"/>
    </xf>
    <xf numFmtId="8" fontId="4" fillId="4" borderId="16" xfId="2" applyNumberFormat="1" applyFont="1" applyFill="1" applyBorder="1" applyAlignment="1">
      <alignment horizontal="left" wrapText="1"/>
    </xf>
    <xf numFmtId="8" fontId="4" fillId="4" borderId="17" xfId="2" applyNumberFormat="1" applyFont="1" applyFill="1" applyBorder="1" applyAlignment="1">
      <alignment horizontal="center" wrapText="1"/>
    </xf>
    <xf numFmtId="8" fontId="4" fillId="4" borderId="18" xfId="2" applyNumberFormat="1" applyFont="1" applyFill="1" applyBorder="1" applyAlignment="1">
      <alignment horizontal="center" wrapText="1"/>
    </xf>
    <xf numFmtId="0" fontId="4" fillId="0" borderId="3" xfId="2" applyFont="1" applyFill="1" applyBorder="1" applyAlignment="1">
      <alignment horizontal="left" wrapText="1"/>
    </xf>
    <xf numFmtId="0" fontId="3" fillId="3" borderId="19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6" fontId="5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3" fillId="3" borderId="5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2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0" borderId="17" xfId="2" applyFont="1" applyFill="1" applyBorder="1" applyAlignment="1">
      <alignment horizontal="left" wrapText="1"/>
    </xf>
    <xf numFmtId="0" fontId="4" fillId="0" borderId="18" xfId="2" applyFont="1" applyFill="1" applyBorder="1" applyAlignment="1">
      <alignment horizontal="left" wrapText="1"/>
    </xf>
    <xf numFmtId="0" fontId="3" fillId="3" borderId="20" xfId="0" applyFont="1" applyFill="1" applyBorder="1" applyAlignment="1">
      <alignment vertical="center" wrapText="1"/>
    </xf>
    <xf numFmtId="0" fontId="4" fillId="0" borderId="24" xfId="2" applyFont="1" applyFill="1" applyBorder="1" applyAlignment="1">
      <alignment horizontal="left" wrapText="1"/>
    </xf>
    <xf numFmtId="0" fontId="3" fillId="3" borderId="25" xfId="0" applyFont="1" applyFill="1" applyBorder="1" applyAlignment="1">
      <alignment vertical="center" wrapText="1"/>
    </xf>
    <xf numFmtId="0" fontId="4" fillId="5" borderId="18" xfId="2" applyFont="1" applyFill="1" applyBorder="1" applyAlignment="1">
      <alignment horizontal="left" wrapText="1"/>
    </xf>
    <xf numFmtId="0" fontId="4" fillId="5" borderId="5" xfId="2" applyFont="1" applyFill="1" applyBorder="1" applyAlignment="1">
      <alignment horizontal="left" wrapText="1"/>
    </xf>
    <xf numFmtId="0" fontId="3" fillId="3" borderId="26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28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left" wrapText="1"/>
    </xf>
    <xf numFmtId="0" fontId="3" fillId="3" borderId="30" xfId="0" applyFont="1" applyFill="1" applyBorder="1" applyAlignment="1">
      <alignment vertical="center" wrapText="1"/>
    </xf>
    <xf numFmtId="0" fontId="4" fillId="4" borderId="31" xfId="0" applyFont="1" applyFill="1" applyBorder="1" applyAlignment="1">
      <alignment horizontal="left" wrapText="1"/>
    </xf>
    <xf numFmtId="0" fontId="4" fillId="4" borderId="25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top" wrapText="1" indent="1"/>
    </xf>
    <xf numFmtId="0" fontId="4" fillId="4" borderId="0" xfId="0" applyFont="1" applyFill="1" applyBorder="1" applyAlignment="1">
      <alignment horizontal="left" vertical="top" wrapText="1" indent="1"/>
    </xf>
    <xf numFmtId="0" fontId="9" fillId="6" borderId="2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5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35" xfId="0" applyFont="1" applyFill="1" applyBorder="1"/>
    <xf numFmtId="0" fontId="9" fillId="0" borderId="0" xfId="0" applyFont="1"/>
    <xf numFmtId="0" fontId="5" fillId="7" borderId="36" xfId="0" applyFont="1" applyFill="1" applyBorder="1" applyAlignment="1">
      <alignment horizontal="left"/>
    </xf>
    <xf numFmtId="0" fontId="9" fillId="7" borderId="37" xfId="0" applyFont="1" applyFill="1" applyBorder="1" applyAlignment="1">
      <alignment horizontal="center" vertical="top" wrapText="1"/>
    </xf>
    <xf numFmtId="0" fontId="9" fillId="7" borderId="38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5" fillId="7" borderId="35" xfId="0" applyFont="1" applyFill="1" applyBorder="1"/>
    <xf numFmtId="0" fontId="9" fillId="7" borderId="37" xfId="0" applyFont="1" applyFill="1" applyBorder="1" applyAlignment="1">
      <alignment horizontal="center"/>
    </xf>
    <xf numFmtId="0" fontId="9" fillId="7" borderId="38" xfId="0" applyFont="1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39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right" vertical="top" wrapText="1"/>
    </xf>
    <xf numFmtId="0" fontId="9" fillId="7" borderId="5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7" borderId="38" xfId="0" applyFont="1" applyFill="1" applyBorder="1"/>
    <xf numFmtId="0" fontId="10" fillId="7" borderId="0" xfId="0" applyFont="1" applyFill="1" applyAlignment="1">
      <alignment horizontal="center"/>
    </xf>
    <xf numFmtId="0" fontId="9" fillId="7" borderId="36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43" fontId="5" fillId="5" borderId="32" xfId="1" applyFont="1" applyFill="1" applyBorder="1"/>
    <xf numFmtId="0" fontId="5" fillId="4" borderId="40" xfId="0" applyFont="1" applyFill="1" applyBorder="1" applyAlignment="1">
      <alignment horizontal="right" vertical="top" wrapText="1"/>
    </xf>
    <xf numFmtId="0" fontId="5" fillId="4" borderId="41" xfId="0" applyFont="1" applyFill="1" applyBorder="1" applyAlignment="1">
      <alignment vertical="top" wrapText="1"/>
    </xf>
    <xf numFmtId="4" fontId="5" fillId="0" borderId="0" xfId="0" applyNumberFormat="1" applyFont="1"/>
    <xf numFmtId="0" fontId="8" fillId="5" borderId="27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9" fillId="6" borderId="43" xfId="0" applyFont="1" applyFill="1" applyBorder="1" applyAlignment="1">
      <alignment horizontal="left"/>
    </xf>
    <xf numFmtId="0" fontId="9" fillId="6" borderId="31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35" xfId="0" applyFont="1" applyFill="1" applyBorder="1" applyAlignment="1"/>
    <xf numFmtId="0" fontId="5" fillId="8" borderId="35" xfId="0" applyFont="1" applyFill="1" applyBorder="1" applyAlignment="1">
      <alignment horizontal="left"/>
    </xf>
    <xf numFmtId="4" fontId="5" fillId="8" borderId="1" xfId="0" applyNumberFormat="1" applyFont="1" applyFill="1" applyBorder="1" applyAlignment="1">
      <alignment horizontal="right"/>
    </xf>
    <xf numFmtId="4" fontId="5" fillId="8" borderId="17" xfId="0" applyNumberFormat="1" applyFont="1" applyFill="1" applyBorder="1" applyAlignment="1">
      <alignment horizontal="right" vertical="top" wrapText="1"/>
    </xf>
    <xf numFmtId="4" fontId="5" fillId="8" borderId="5" xfId="0" applyNumberFormat="1" applyFont="1" applyFill="1" applyBorder="1" applyAlignment="1">
      <alignment vertical="top" wrapText="1"/>
    </xf>
    <xf numFmtId="4" fontId="5" fillId="8" borderId="32" xfId="0" applyNumberFormat="1" applyFont="1" applyFill="1" applyBorder="1"/>
    <xf numFmtId="4" fontId="5" fillId="8" borderId="35" xfId="0" applyNumberFormat="1" applyFont="1" applyFill="1" applyBorder="1"/>
    <xf numFmtId="0" fontId="5" fillId="8" borderId="35" xfId="0" applyFont="1" applyFill="1" applyBorder="1"/>
    <xf numFmtId="43" fontId="11" fillId="8" borderId="0" xfId="0" applyNumberFormat="1" applyFont="1" applyFill="1"/>
    <xf numFmtId="43" fontId="11" fillId="8" borderId="35" xfId="0" applyNumberFormat="1" applyFont="1" applyFill="1" applyBorder="1"/>
    <xf numFmtId="0" fontId="5" fillId="8" borderId="1" xfId="0" applyFont="1" applyFill="1" applyBorder="1"/>
    <xf numFmtId="4" fontId="5" fillId="8" borderId="15" xfId="0" applyNumberFormat="1" applyFont="1" applyFill="1" applyBorder="1" applyAlignment="1">
      <alignment horizontal="right" vertical="top" wrapText="1"/>
    </xf>
    <xf numFmtId="4" fontId="5" fillId="8" borderId="25" xfId="0" applyNumberFormat="1" applyFont="1" applyFill="1" applyBorder="1" applyAlignment="1">
      <alignment horizontal="right" vertical="top" wrapText="1"/>
    </xf>
    <xf numFmtId="0" fontId="5" fillId="9" borderId="1" xfId="0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43" fontId="11" fillId="10" borderId="35" xfId="0" applyNumberFormat="1" applyFont="1" applyFill="1" applyBorder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zoomScale="70" zoomScaleNormal="70" workbookViewId="0">
      <selection activeCell="T64" sqref="T64"/>
    </sheetView>
  </sheetViews>
  <sheetFormatPr defaultRowHeight="14.4" x14ac:dyDescent="0.3"/>
  <cols>
    <col min="1" max="1" width="34" customWidth="1"/>
    <col min="2" max="2" width="27.109375" customWidth="1"/>
    <col min="3" max="3" width="16.6640625" customWidth="1"/>
    <col min="4" max="4" width="45.21875" customWidth="1"/>
    <col min="5" max="5" width="18.44140625" customWidth="1"/>
    <col min="6" max="6" width="15.77734375" customWidth="1"/>
    <col min="7" max="7" width="19.5546875" customWidth="1"/>
    <col min="8" max="8" width="15" customWidth="1"/>
    <col min="9" max="9" width="20" customWidth="1"/>
    <col min="10" max="10" width="26.6640625" customWidth="1"/>
    <col min="11" max="11" width="15.33203125" customWidth="1"/>
    <col min="12" max="12" width="19.109375" customWidth="1"/>
    <col min="13" max="13" width="15.109375" customWidth="1"/>
    <col min="14" max="14" width="21.6640625" customWidth="1"/>
    <col min="15" max="15" width="14.109375" customWidth="1"/>
    <col min="16" max="16" width="15.77734375" customWidth="1"/>
    <col min="17" max="17" width="22" customWidth="1"/>
    <col min="18" max="18" width="14.21875" customWidth="1"/>
    <col min="19" max="19" width="19.6640625" customWidth="1"/>
    <col min="20" max="20" width="17.109375" customWidth="1"/>
    <col min="21" max="21" width="18.88671875" customWidth="1"/>
    <col min="22" max="22" width="21.44140625" customWidth="1"/>
    <col min="23" max="23" width="12.88671875" customWidth="1"/>
  </cols>
  <sheetData>
    <row r="1" spans="1:24" ht="21" x14ac:dyDescent="0.4">
      <c r="A1" s="1" t="s">
        <v>0</v>
      </c>
      <c r="B1" s="2"/>
      <c r="C1" s="3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1" x14ac:dyDescent="0.4">
      <c r="A2" s="5" t="s">
        <v>2</v>
      </c>
      <c r="B2" s="5"/>
      <c r="C2" s="6" t="s">
        <v>3</v>
      </c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1" x14ac:dyDescent="0.4">
      <c r="A3" s="7" t="s">
        <v>4</v>
      </c>
      <c r="B3" s="7"/>
      <c r="C3" s="8" t="s">
        <v>5</v>
      </c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1" x14ac:dyDescent="0.4">
      <c r="A4" s="7" t="s">
        <v>6</v>
      </c>
      <c r="B4" s="7"/>
      <c r="C4" s="9" t="s">
        <v>5</v>
      </c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1" x14ac:dyDescent="0.4">
      <c r="A5" s="10" t="s">
        <v>7</v>
      </c>
      <c r="B5" s="11"/>
      <c r="C5" s="12" t="s">
        <v>85</v>
      </c>
      <c r="D5" s="1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1" x14ac:dyDescent="0.4">
      <c r="A6" s="13" t="s">
        <v>8</v>
      </c>
      <c r="B6" s="14"/>
      <c r="C6" s="15" t="s">
        <v>86</v>
      </c>
      <c r="D6" s="1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1" x14ac:dyDescent="0.4">
      <c r="A7" s="13" t="s">
        <v>9</v>
      </c>
      <c r="B7" s="14"/>
      <c r="C7" s="16" t="s">
        <v>87</v>
      </c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70.2" customHeight="1" x14ac:dyDescent="0.4">
      <c r="A8" s="17" t="s">
        <v>10</v>
      </c>
      <c r="B8" s="18"/>
      <c r="C8" s="19" t="s">
        <v>11</v>
      </c>
      <c r="D8" s="2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1" x14ac:dyDescent="0.4">
      <c r="A9" s="13" t="s">
        <v>12</v>
      </c>
      <c r="B9" s="14"/>
      <c r="C9" s="21" t="s">
        <v>13</v>
      </c>
      <c r="D9" s="2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1" x14ac:dyDescent="0.4">
      <c r="A10" s="13" t="s">
        <v>14</v>
      </c>
      <c r="B10" s="14"/>
      <c r="C10" s="12" t="s">
        <v>15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1" x14ac:dyDescent="0.4">
      <c r="A11" s="13" t="s">
        <v>16</v>
      </c>
      <c r="B11" s="14"/>
      <c r="C11" s="22" t="s">
        <v>17</v>
      </c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1" x14ac:dyDescent="0.4">
      <c r="A12" s="13" t="s">
        <v>18</v>
      </c>
      <c r="B12" s="14"/>
      <c r="C12" s="23" t="s">
        <v>19</v>
      </c>
      <c r="D12" s="23"/>
      <c r="E12" s="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1" x14ac:dyDescent="0.4">
      <c r="A13" s="13" t="s">
        <v>20</v>
      </c>
      <c r="B13" s="14"/>
      <c r="C13" s="25" t="s">
        <v>21</v>
      </c>
      <c r="D13" s="2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1" x14ac:dyDescent="0.4">
      <c r="A14" s="13" t="s">
        <v>22</v>
      </c>
      <c r="B14" s="14"/>
      <c r="C14" s="26">
        <v>1750</v>
      </c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1" x14ac:dyDescent="0.4">
      <c r="A15" s="13" t="s">
        <v>23</v>
      </c>
      <c r="B15" s="14"/>
      <c r="C15" s="22" t="s">
        <v>24</v>
      </c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1" x14ac:dyDescent="0.4">
      <c r="A16" s="13" t="s">
        <v>25</v>
      </c>
      <c r="B16" s="14"/>
      <c r="C16" s="25" t="s">
        <v>24</v>
      </c>
      <c r="D16" s="2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22.2" customHeight="1" x14ac:dyDescent="0.4">
      <c r="A17" s="13" t="s">
        <v>26</v>
      </c>
      <c r="B17" s="27"/>
      <c r="C17" s="28" t="s">
        <v>27</v>
      </c>
      <c r="D17" s="2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51.6" customHeight="1" x14ac:dyDescent="0.4">
      <c r="A18" s="17" t="s">
        <v>28</v>
      </c>
      <c r="B18" s="18"/>
      <c r="C18" s="30" t="s">
        <v>29</v>
      </c>
      <c r="D18" s="3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02" x14ac:dyDescent="0.4">
      <c r="A19" s="17" t="s">
        <v>30</v>
      </c>
      <c r="B19" s="18" t="s">
        <v>31</v>
      </c>
      <c r="C19" s="30">
        <v>317.75</v>
      </c>
      <c r="D19" s="3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21" x14ac:dyDescent="0.4">
      <c r="A20" s="13" t="s">
        <v>32</v>
      </c>
      <c r="B20" s="14"/>
      <c r="C20" s="22" t="s">
        <v>33</v>
      </c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1" x14ac:dyDescent="0.4">
      <c r="A21" s="13" t="s">
        <v>34</v>
      </c>
      <c r="B21" s="14"/>
      <c r="C21" s="32" t="s">
        <v>35</v>
      </c>
      <c r="D21" s="3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21" x14ac:dyDescent="0.4">
      <c r="A22" s="33" t="s">
        <v>36</v>
      </c>
      <c r="B22" s="34"/>
      <c r="C22" s="22" t="s">
        <v>37</v>
      </c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21" x14ac:dyDescent="0.4">
      <c r="A23" s="35" t="s">
        <v>38</v>
      </c>
      <c r="B23" s="36"/>
      <c r="C23" s="22" t="s">
        <v>39</v>
      </c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21" x14ac:dyDescent="0.4">
      <c r="A24" s="35" t="s">
        <v>40</v>
      </c>
      <c r="B24" s="36"/>
      <c r="C24" s="37" t="s">
        <v>41</v>
      </c>
      <c r="D24" s="3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21" x14ac:dyDescent="0.4">
      <c r="A25" s="39" t="s">
        <v>42</v>
      </c>
      <c r="B25" s="40"/>
      <c r="C25" s="22" t="s">
        <v>43</v>
      </c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1" x14ac:dyDescent="0.4">
      <c r="A26" s="41" t="s">
        <v>44</v>
      </c>
      <c r="B26" s="42"/>
      <c r="C26" s="22" t="s">
        <v>43</v>
      </c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61.2" x14ac:dyDescent="0.4">
      <c r="A27" s="43" t="s">
        <v>45</v>
      </c>
      <c r="B27" s="44"/>
      <c r="C27" s="45" t="s">
        <v>27</v>
      </c>
      <c r="D27" s="4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21" x14ac:dyDescent="0.4">
      <c r="A28" s="33" t="s">
        <v>46</v>
      </c>
      <c r="B28" s="34"/>
      <c r="C28" s="32" t="s">
        <v>47</v>
      </c>
      <c r="D28" s="3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02" x14ac:dyDescent="0.4">
      <c r="A29" s="47" t="s">
        <v>48</v>
      </c>
      <c r="B29" s="47"/>
      <c r="C29" s="48" t="s">
        <v>49</v>
      </c>
      <c r="D29" s="4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21" x14ac:dyDescent="0.4">
      <c r="A30" s="49" t="s">
        <v>50</v>
      </c>
      <c r="B30" s="49"/>
      <c r="C30" s="50" t="s">
        <v>51</v>
      </c>
      <c r="D30" s="5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21" x14ac:dyDescent="0.4">
      <c r="A31" s="52" t="s">
        <v>52</v>
      </c>
      <c r="B31" s="53"/>
      <c r="C31" s="12" t="s">
        <v>27</v>
      </c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21" x14ac:dyDescent="0.4">
      <c r="A32" s="54" t="s">
        <v>53</v>
      </c>
      <c r="B32" s="55"/>
      <c r="C32" s="22" t="s">
        <v>54</v>
      </c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21" x14ac:dyDescent="0.4">
      <c r="A33" s="1" t="s">
        <v>55</v>
      </c>
      <c r="B33" s="2"/>
      <c r="C33" s="56" t="s">
        <v>49</v>
      </c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1" x14ac:dyDescent="0.4">
      <c r="A34" s="1" t="s">
        <v>56</v>
      </c>
      <c r="B34" s="2"/>
      <c r="C34" s="22" t="s">
        <v>57</v>
      </c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1" x14ac:dyDescent="0.4">
      <c r="A35" s="1" t="s">
        <v>58</v>
      </c>
      <c r="B35" s="2"/>
      <c r="C35" s="3" t="s">
        <v>59</v>
      </c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21" x14ac:dyDescent="0.4">
      <c r="A36" s="57" t="s">
        <v>60</v>
      </c>
      <c r="B36" s="7"/>
      <c r="C36" s="3" t="s">
        <v>61</v>
      </c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21" x14ac:dyDescent="0.4">
      <c r="A37" s="49" t="s">
        <v>62</v>
      </c>
      <c r="B37" s="49"/>
      <c r="C37" s="58" t="s">
        <v>49</v>
      </c>
      <c r="D37" s="5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21" x14ac:dyDescent="0.4">
      <c r="A38" s="60"/>
      <c r="B38" s="60"/>
      <c r="C38" s="61"/>
      <c r="D38" s="6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21" x14ac:dyDescent="0.4">
      <c r="A39" s="60"/>
      <c r="B39" s="60"/>
      <c r="C39" s="61"/>
      <c r="D39" s="6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21" x14ac:dyDescent="0.4">
      <c r="A40" s="24"/>
      <c r="B40" s="24"/>
      <c r="C40" s="98"/>
      <c r="D40" s="99"/>
      <c r="E40" s="4"/>
      <c r="F40" s="4"/>
      <c r="G40" s="4"/>
      <c r="H40" s="4"/>
      <c r="I40" s="10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4" ht="21" x14ac:dyDescent="0.4">
      <c r="A41" s="101" t="s">
        <v>88</v>
      </c>
      <c r="B41" s="102"/>
      <c r="C41" s="98"/>
      <c r="D41" s="99"/>
    </row>
    <row r="42" spans="1:24" ht="20.399999999999999" x14ac:dyDescent="0.35">
      <c r="A42" s="103" t="s">
        <v>63</v>
      </c>
      <c r="B42" s="104" t="s">
        <v>64</v>
      </c>
      <c r="C42" s="105"/>
      <c r="D42" s="105"/>
      <c r="E42" s="105"/>
      <c r="F42" s="63" t="s">
        <v>65</v>
      </c>
      <c r="G42" s="63"/>
      <c r="H42" s="63"/>
      <c r="I42" s="64"/>
      <c r="J42" s="65" t="s">
        <v>66</v>
      </c>
      <c r="K42" s="66" t="s">
        <v>67</v>
      </c>
      <c r="L42" s="66"/>
      <c r="M42" s="66"/>
      <c r="N42" s="66"/>
      <c r="O42" s="67" t="s">
        <v>68</v>
      </c>
      <c r="P42" s="68"/>
      <c r="Q42" s="68"/>
      <c r="R42" s="68"/>
      <c r="S42" s="69"/>
      <c r="T42" s="106" t="s">
        <v>83</v>
      </c>
      <c r="U42" s="106"/>
      <c r="V42" s="70"/>
      <c r="W42" s="71" t="s">
        <v>69</v>
      </c>
      <c r="X42" s="72"/>
    </row>
    <row r="43" spans="1:24" ht="21" x14ac:dyDescent="0.4">
      <c r="A43" s="73"/>
      <c r="B43" s="74" t="s">
        <v>70</v>
      </c>
      <c r="C43" s="75"/>
      <c r="D43" s="76" t="s">
        <v>71</v>
      </c>
      <c r="E43" s="77"/>
      <c r="F43" s="76" t="s">
        <v>72</v>
      </c>
      <c r="G43" s="77"/>
      <c r="H43" s="76" t="s">
        <v>71</v>
      </c>
      <c r="I43" s="77"/>
      <c r="J43" s="78"/>
      <c r="K43" s="79" t="s">
        <v>72</v>
      </c>
      <c r="L43" s="80"/>
      <c r="M43" s="76" t="s">
        <v>71</v>
      </c>
      <c r="N43" s="77"/>
      <c r="O43" s="81"/>
      <c r="P43" s="82" t="s">
        <v>72</v>
      </c>
      <c r="Q43" s="82"/>
      <c r="R43" s="76" t="s">
        <v>71</v>
      </c>
      <c r="S43" s="77"/>
      <c r="T43" s="83" t="s">
        <v>75</v>
      </c>
      <c r="U43" s="83"/>
      <c r="V43" s="84"/>
      <c r="W43" s="83" t="s">
        <v>73</v>
      </c>
      <c r="X43" s="4"/>
    </row>
    <row r="44" spans="1:24" ht="21" x14ac:dyDescent="0.4">
      <c r="A44" s="85"/>
      <c r="B44" s="86" t="s">
        <v>74</v>
      </c>
      <c r="C44" s="87" t="s">
        <v>75</v>
      </c>
      <c r="D44" s="88" t="s">
        <v>74</v>
      </c>
      <c r="E44" s="89" t="s">
        <v>75</v>
      </c>
      <c r="F44" s="90" t="s">
        <v>74</v>
      </c>
      <c r="G44" s="90" t="s">
        <v>75</v>
      </c>
      <c r="H44" s="90" t="s">
        <v>74</v>
      </c>
      <c r="I44" s="90" t="s">
        <v>75</v>
      </c>
      <c r="J44" s="78"/>
      <c r="K44" s="90" t="s">
        <v>74</v>
      </c>
      <c r="L44" s="90" t="s">
        <v>75</v>
      </c>
      <c r="M44" s="90" t="s">
        <v>74</v>
      </c>
      <c r="N44" s="90" t="s">
        <v>75</v>
      </c>
      <c r="O44" s="91"/>
      <c r="P44" s="92" t="s">
        <v>74</v>
      </c>
      <c r="Q44" s="93" t="s">
        <v>75</v>
      </c>
      <c r="R44" s="94" t="s">
        <v>74</v>
      </c>
      <c r="S44" s="90" t="s">
        <v>75</v>
      </c>
      <c r="T44" s="95"/>
      <c r="U44" s="95"/>
      <c r="V44" s="96"/>
      <c r="W44" s="95"/>
      <c r="X44" s="4"/>
    </row>
    <row r="45" spans="1:24" ht="21" x14ac:dyDescent="0.4">
      <c r="A45" s="107" t="s">
        <v>76</v>
      </c>
      <c r="B45" s="108">
        <v>1750</v>
      </c>
      <c r="C45" s="109">
        <f>B45*W45</f>
        <v>556062.5</v>
      </c>
      <c r="D45" s="110">
        <f>B45 *2</f>
        <v>3500</v>
      </c>
      <c r="E45" s="111">
        <f>D45*W45</f>
        <v>1112125</v>
      </c>
      <c r="F45" s="112">
        <f>B45 *3</f>
        <v>5250</v>
      </c>
      <c r="G45" s="112">
        <f>F45*W45</f>
        <v>1668187.5</v>
      </c>
      <c r="H45" s="112">
        <f>F45 *2</f>
        <v>10500</v>
      </c>
      <c r="I45" s="112">
        <f>H45*W45</f>
        <v>3336375</v>
      </c>
      <c r="J45" s="113" t="s">
        <v>77</v>
      </c>
      <c r="K45" s="112">
        <f>B45 *12</f>
        <v>21000</v>
      </c>
      <c r="L45" s="112">
        <f>K45*W45</f>
        <v>6672750</v>
      </c>
      <c r="M45" s="112">
        <f>K45 *2</f>
        <v>42000</v>
      </c>
      <c r="N45" s="112">
        <f>M45*W45</f>
        <v>13345500</v>
      </c>
      <c r="O45" s="113" t="s">
        <v>78</v>
      </c>
      <c r="P45" s="112">
        <f>B45 *3</f>
        <v>5250</v>
      </c>
      <c r="Q45" s="112">
        <f>P45*W45</f>
        <v>1668187.5</v>
      </c>
      <c r="R45" s="112">
        <f>P45 *2</f>
        <v>10500</v>
      </c>
      <c r="S45" s="112">
        <f>R45*W45</f>
        <v>3336375</v>
      </c>
      <c r="T45" s="112">
        <f>N45*0.5%</f>
        <v>66727.5</v>
      </c>
      <c r="U45" s="114"/>
      <c r="V45" s="115"/>
      <c r="W45" s="97">
        <v>317.75</v>
      </c>
      <c r="X45" s="4" t="s">
        <v>79</v>
      </c>
    </row>
    <row r="46" spans="1:24" ht="21" x14ac:dyDescent="0.4">
      <c r="A46" s="107" t="s">
        <v>80</v>
      </c>
      <c r="B46" s="108">
        <v>1750</v>
      </c>
      <c r="C46" s="109">
        <f>B46*W45</f>
        <v>556062.5</v>
      </c>
      <c r="D46" s="110">
        <f t="shared" ref="D46:D48" si="0">B46 *2</f>
        <v>3500</v>
      </c>
      <c r="E46" s="111">
        <f>D46*W45</f>
        <v>1112125</v>
      </c>
      <c r="F46" s="112">
        <f>B46 *3</f>
        <v>5250</v>
      </c>
      <c r="G46" s="112">
        <f>F46*W45</f>
        <v>1668187.5</v>
      </c>
      <c r="H46" s="112">
        <f t="shared" ref="H46:H48" si="1">F46 *2</f>
        <v>10500</v>
      </c>
      <c r="I46" s="112">
        <f>H46*W45</f>
        <v>3336375</v>
      </c>
      <c r="J46" s="113" t="s">
        <v>77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6"/>
      <c r="V46" s="113"/>
      <c r="W46" s="4"/>
      <c r="X46" s="4"/>
    </row>
    <row r="47" spans="1:24" ht="21" x14ac:dyDescent="0.4">
      <c r="A47" s="107" t="s">
        <v>81</v>
      </c>
      <c r="B47" s="108">
        <v>1750</v>
      </c>
      <c r="C47" s="117">
        <f>B47*W45</f>
        <v>556062.5</v>
      </c>
      <c r="D47" s="110">
        <f t="shared" si="0"/>
        <v>3500</v>
      </c>
      <c r="E47" s="111">
        <f>D47*W45</f>
        <v>1112125</v>
      </c>
      <c r="F47" s="112">
        <f>B47 *3</f>
        <v>5250</v>
      </c>
      <c r="G47" s="112">
        <f>F47*W45</f>
        <v>1668187.5</v>
      </c>
      <c r="H47" s="112">
        <f t="shared" si="1"/>
        <v>10500</v>
      </c>
      <c r="I47" s="112">
        <f>H47*W45</f>
        <v>3336375</v>
      </c>
      <c r="J47" s="113" t="s">
        <v>77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6"/>
      <c r="V47" s="113"/>
      <c r="W47" s="4"/>
      <c r="X47" s="4"/>
    </row>
    <row r="48" spans="1:24" ht="21" x14ac:dyDescent="0.4">
      <c r="A48" s="107" t="s">
        <v>82</v>
      </c>
      <c r="B48" s="108">
        <v>1750</v>
      </c>
      <c r="C48" s="118">
        <f>B48*W45</f>
        <v>556062.5</v>
      </c>
      <c r="D48" s="110">
        <f t="shared" si="0"/>
        <v>3500</v>
      </c>
      <c r="E48" s="111">
        <f>D48*W45</f>
        <v>1112125</v>
      </c>
      <c r="F48" s="112">
        <f>B47 *3</f>
        <v>5250</v>
      </c>
      <c r="G48" s="112">
        <f>F48*W45</f>
        <v>1668187.5</v>
      </c>
      <c r="H48" s="112">
        <f t="shared" si="1"/>
        <v>10500</v>
      </c>
      <c r="I48" s="112">
        <f>H48*W45</f>
        <v>3336375</v>
      </c>
      <c r="J48" s="113" t="s">
        <v>77</v>
      </c>
      <c r="K48" s="113"/>
      <c r="L48" s="113"/>
      <c r="M48" s="113"/>
      <c r="N48" s="113"/>
      <c r="O48" s="113"/>
      <c r="P48" s="113"/>
      <c r="Q48" s="113"/>
      <c r="R48" s="113"/>
      <c r="S48" s="113"/>
      <c r="T48" s="119" t="s">
        <v>84</v>
      </c>
      <c r="U48" s="120"/>
      <c r="V48" s="121">
        <f>I45+S45</f>
        <v>6672750</v>
      </c>
      <c r="W48" s="4"/>
      <c r="X48" s="4"/>
    </row>
  </sheetData>
  <mergeCells count="86">
    <mergeCell ref="T48:U48"/>
    <mergeCell ref="O43:O44"/>
    <mergeCell ref="P43:Q43"/>
    <mergeCell ref="R43:S43"/>
    <mergeCell ref="T43:T44"/>
    <mergeCell ref="U43:U44"/>
    <mergeCell ref="W43:W44"/>
    <mergeCell ref="B43:C43"/>
    <mergeCell ref="D43:E43"/>
    <mergeCell ref="F43:G43"/>
    <mergeCell ref="H43:I43"/>
    <mergeCell ref="K43:L43"/>
    <mergeCell ref="M43:N43"/>
    <mergeCell ref="A41:B41"/>
    <mergeCell ref="B42:E42"/>
    <mergeCell ref="F42:I42"/>
    <mergeCell ref="K42:N42"/>
    <mergeCell ref="O42:S42"/>
    <mergeCell ref="A36:B36"/>
    <mergeCell ref="C36:D36"/>
    <mergeCell ref="A37:B37"/>
    <mergeCell ref="C37:D37"/>
    <mergeCell ref="A33:B33"/>
    <mergeCell ref="C33:D33"/>
    <mergeCell ref="A34:B34"/>
    <mergeCell ref="C34:D34"/>
    <mergeCell ref="A35:B35"/>
    <mergeCell ref="C35:D35"/>
    <mergeCell ref="C29:D29"/>
    <mergeCell ref="A30:B30"/>
    <mergeCell ref="C30:D30"/>
    <mergeCell ref="A31:B31"/>
    <mergeCell ref="C31:D31"/>
    <mergeCell ref="A32:B32"/>
    <mergeCell ref="C32:D32"/>
    <mergeCell ref="A25:B25"/>
    <mergeCell ref="C25:D25"/>
    <mergeCell ref="A26:B26"/>
    <mergeCell ref="C26:D26"/>
    <mergeCell ref="C27:D27"/>
    <mergeCell ref="A28:B28"/>
    <mergeCell ref="C28:D28"/>
    <mergeCell ref="A22:B22"/>
    <mergeCell ref="C22:D22"/>
    <mergeCell ref="A23:B23"/>
    <mergeCell ref="C23:D23"/>
    <mergeCell ref="A24:B24"/>
    <mergeCell ref="C24:D24"/>
    <mergeCell ref="A17:B17"/>
    <mergeCell ref="C18:D18"/>
    <mergeCell ref="C19:D19"/>
    <mergeCell ref="A20:B20"/>
    <mergeCell ref="C20:D20"/>
    <mergeCell ref="A21:B21"/>
    <mergeCell ref="C21:D21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7:B7"/>
    <mergeCell ref="C7:D7"/>
    <mergeCell ref="C8:D8"/>
    <mergeCell ref="A9:B9"/>
    <mergeCell ref="C9:D9"/>
    <mergeCell ref="A10:B10"/>
    <mergeCell ref="C10:D10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Taneesha</dc:creator>
  <cp:lastModifiedBy>Taneesha</cp:lastModifiedBy>
  <dcterms:created xsi:type="dcterms:W3CDTF">2026-05-20T04:18:21Z</dcterms:created>
  <dcterms:modified xsi:type="dcterms:W3CDTF">2026-05-20T05:58:40Z</dcterms:modified>
</cp:coreProperties>
</file>